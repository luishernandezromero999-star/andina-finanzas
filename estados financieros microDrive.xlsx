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ropbox\aMaterias\Gerencia financiera\Módulo posgrados\"/>
    </mc:Choice>
  </mc:AlternateContent>
  <xr:revisionPtr revIDLastSave="0" documentId="8_{D76BBEE6-E94A-4DCE-BC60-CB8EB594B1E5}" xr6:coauthVersionLast="47" xr6:coauthVersionMax="47" xr10:uidLastSave="{00000000-0000-0000-0000-000000000000}"/>
  <bookViews>
    <workbookView xWindow="-108" yWindow="-108" windowWidth="23256" windowHeight="12456" activeTab="2" xr2:uid="{EC6B3EBE-8DA8-467B-A1CA-A53443BE6F1A}"/>
  </bookViews>
  <sheets>
    <sheet name="resultados" sheetId="2" r:id="rId1"/>
    <sheet name="balance" sheetId="1" r:id="rId2"/>
    <sheet name="efectiv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B9" i="2"/>
  <c r="C9" i="1"/>
  <c r="B9" i="1"/>
</calcChain>
</file>

<file path=xl/sharedStrings.xml><?xml version="1.0" encoding="utf-8"?>
<sst xmlns="http://schemas.openxmlformats.org/spreadsheetml/2006/main" count="68" uniqueCount="67">
  <si>
    <t>Estados Financieros de Micro Drive Inc.</t>
  </si>
  <si>
    <t>MicroDrive Inc.: balances generales al 31 de diciembre (millones de dólares)</t>
  </si>
  <si>
    <t>Efectivo y equivalentes</t>
  </si>
  <si>
    <t>Inversiones a corto plazo</t>
  </si>
  <si>
    <t>Cuentas por cobrar</t>
  </si>
  <si>
    <t>Inventarios</t>
  </si>
  <si>
    <t>Total activo circulante</t>
  </si>
  <si>
    <t>Planta y equipo netos</t>
  </si>
  <si>
    <t>Total activo</t>
  </si>
  <si>
    <t xml:space="preserve"> Cuentas por pagar</t>
  </si>
  <si>
    <t xml:space="preserve"> Documentos por pagar</t>
  </si>
  <si>
    <t xml:space="preserve"> Acumulaciones</t>
  </si>
  <si>
    <t xml:space="preserve"> Total pasivo circulante</t>
  </si>
  <si>
    <t xml:space="preserve"> Bonos a largo plazo</t>
  </si>
  <si>
    <t xml:space="preserve"> Total pasivo</t>
  </si>
  <si>
    <t>Acciones preferentes  (400 000)</t>
  </si>
  <si>
    <t>Acciones comunes  (50 000 000)</t>
  </si>
  <si>
    <t>Utilidades retenidas</t>
  </si>
  <si>
    <t>Total capital contable</t>
  </si>
  <si>
    <t xml:space="preserve"> Total pasivo y capital</t>
  </si>
  <si>
    <t>MicroDrive Inc.: Estados de resultados correspondientes a los años que terminen el 31 de diciembre</t>
  </si>
  <si>
    <t xml:space="preserve"> (millones de dólares  exceptuados los datos por acción)</t>
  </si>
  <si>
    <t>Ventas netas</t>
  </si>
  <si>
    <t>Costos de operación  excluidas la depreciación y la amortización</t>
  </si>
  <si>
    <t>Utilidades antes de intereses impuestos  depreciación y amortización (UAIIDA)</t>
  </si>
  <si>
    <t>Depreciación</t>
  </si>
  <si>
    <t>Amortización</t>
  </si>
  <si>
    <t>Depreciación y amortización</t>
  </si>
  <si>
    <t>Utilidades antes de intereses e impuestos (UAII  o utilidad de operación)</t>
  </si>
  <si>
    <t>Menos intereses</t>
  </si>
  <si>
    <t>Utilidades antes de impuestos (UAI)</t>
  </si>
  <si>
    <t>Impuestos (40%)</t>
  </si>
  <si>
    <t>Utilidad neto antes de dividendos preferentes</t>
  </si>
  <si>
    <t>Dividendos preferentes</t>
  </si>
  <si>
    <t>Utilidad neta</t>
  </si>
  <si>
    <t>Dividendos comunes</t>
  </si>
  <si>
    <t>Adición a utilidades retenidas</t>
  </si>
  <si>
    <t>Datos por acción</t>
  </si>
  <si>
    <t>Precio de acción común</t>
  </si>
  <si>
    <t>Utilidades por acción (UPA)a</t>
  </si>
  <si>
    <t>Dividendos por acción (DPA) a</t>
  </si>
  <si>
    <t>Valor en libros por acción (VLPA) a</t>
  </si>
  <si>
    <t>Flujo de efectivo por acción (FEPA)a</t>
  </si>
  <si>
    <t># de acciones comunes</t>
  </si>
  <si>
    <t>MicroDrive Incorporated: estado de flujos de efectivo en 2024 (millones de dólares)</t>
  </si>
  <si>
    <t>Actividades de operación</t>
  </si>
  <si>
    <t>Utilidad neta antes de dividendos preferentes</t>
  </si>
  <si>
    <t>Ajustes:</t>
  </si>
  <si>
    <t>Ajustes no en efectivo:</t>
  </si>
  <si>
    <t>Debidos a cambios del capital de trabajo:</t>
  </si>
  <si>
    <t>Aumento de las cuentas por cobrar</t>
  </si>
  <si>
    <t>Aumento de inventarios</t>
  </si>
  <si>
    <t>Aumento de las cuentas por pagar</t>
  </si>
  <si>
    <t>Aumento de las acumulaciones</t>
  </si>
  <si>
    <t>Efectivo neto procedente de las operaciones</t>
  </si>
  <si>
    <t>Actividades de inversión a largo plazo</t>
  </si>
  <si>
    <t>Efectivo destinado a adquirir activo fijo</t>
  </si>
  <si>
    <t>Actividades financieras</t>
  </si>
  <si>
    <t>Venta de inversiones a corto plazo</t>
  </si>
  <si>
    <t>Aumento de los documentos por pagar</t>
  </si>
  <si>
    <t>Aumento de los bonos en circulación</t>
  </si>
  <si>
    <t>Pago de dividendos de acciones preferentes y comunes</t>
  </si>
  <si>
    <t>Efectivo neto procedente de actividades financieras</t>
  </si>
  <si>
    <t>Resumen</t>
  </si>
  <si>
    <t>Cambio neto de efectivo</t>
  </si>
  <si>
    <t>Efectivo al inicio del año</t>
  </si>
  <si>
    <t>Efectivo al final del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</si>
</sst>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-* #,##0.0_-;\-* #,##0.0_-;_-* &quot;-&quot;_-;_-@_-"/>
    <numFmt numFmtId="167" formatCode="_-* #,##0.00_-;\-* #,##0.00_-;_-* &quot;-&quot;_-;_-@_-"/>
    <numFmt numFmtId="168" formatCode="&quot;$&quot;\ #,##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9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41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</cellStyleXfs>
  <cellXfs count="58">
    <xf numFmtId="0" fontId="0" fillId="0" borderId="0" xfId="0"/>
    <xf numFmtId="0" fontId="3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/>
    </xf>
    <xf numFmtId="0" fontId="6" fillId="9" borderId="1" xfId="0" applyFont="1" applyFill="1" applyBorder="1" applyAlignment="1">
      <alignment horizontal="right"/>
    </xf>
    <xf numFmtId="0" fontId="6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right"/>
    </xf>
    <xf numFmtId="41" fontId="4" fillId="11" borderId="0" xfId="1" applyFont="1" applyFill="1"/>
    <xf numFmtId="0" fontId="4" fillId="12" borderId="0" xfId="0" applyFont="1" applyFill="1" applyAlignment="1">
      <alignment horizontal="right"/>
    </xf>
    <xf numFmtId="41" fontId="4" fillId="12" borderId="0" xfId="1" applyFont="1" applyFill="1"/>
    <xf numFmtId="0" fontId="4" fillId="0" borderId="2" xfId="2" applyFont="1" applyFill="1" applyBorder="1" applyAlignment="1">
      <alignment horizontal="right"/>
    </xf>
    <xf numFmtId="41" fontId="4" fillId="0" borderId="2" xfId="1" applyFont="1" applyFill="1" applyBorder="1"/>
    <xf numFmtId="0" fontId="4" fillId="13" borderId="0" xfId="0" applyFont="1" applyFill="1" applyAlignment="1">
      <alignment horizontal="right"/>
    </xf>
    <xf numFmtId="41" fontId="4" fillId="13" borderId="0" xfId="1" applyFont="1" applyFill="1"/>
    <xf numFmtId="0" fontId="7" fillId="14" borderId="2" xfId="3" applyFont="1" applyFill="1" applyBorder="1" applyAlignment="1">
      <alignment horizontal="right"/>
    </xf>
    <xf numFmtId="41" fontId="7" fillId="14" borderId="2" xfId="1" applyFont="1" applyFill="1" applyBorder="1"/>
    <xf numFmtId="0" fontId="4" fillId="0" borderId="0" xfId="0" applyFont="1"/>
    <xf numFmtId="41" fontId="4" fillId="0" borderId="0" xfId="1" applyFont="1" applyFill="1"/>
    <xf numFmtId="0" fontId="7" fillId="15" borderId="2" xfId="2" applyFont="1" applyFill="1" applyBorder="1" applyAlignment="1">
      <alignment horizontal="right"/>
    </xf>
    <xf numFmtId="41" fontId="7" fillId="15" borderId="2" xfId="1" applyFont="1" applyFill="1" applyBorder="1"/>
    <xf numFmtId="0" fontId="4" fillId="14" borderId="2" xfId="2" applyFont="1" applyFill="1" applyBorder="1" applyAlignment="1">
      <alignment horizontal="right"/>
    </xf>
    <xf numFmtId="41" fontId="4" fillId="14" borderId="2" xfId="1" applyFont="1" applyFill="1" applyBorder="1"/>
    <xf numFmtId="0" fontId="4" fillId="12" borderId="2" xfId="2" applyFont="1" applyFill="1" applyBorder="1" applyAlignment="1">
      <alignment horizontal="right"/>
    </xf>
    <xf numFmtId="41" fontId="4" fillId="12" borderId="2" xfId="1" applyFont="1" applyFill="1" applyBorder="1"/>
    <xf numFmtId="0" fontId="9" fillId="9" borderId="0" xfId="0" applyFont="1" applyFill="1" applyAlignment="1">
      <alignment horizontal="right" wrapText="1"/>
    </xf>
    <xf numFmtId="0" fontId="7" fillId="16" borderId="0" xfId="3" applyFont="1" applyFill="1" applyBorder="1" applyAlignment="1">
      <alignment horizontal="right" wrapText="1"/>
    </xf>
    <xf numFmtId="165" fontId="7" fillId="16" borderId="0" xfId="1" applyNumberFormat="1" applyFont="1" applyFill="1" applyBorder="1"/>
    <xf numFmtId="0" fontId="4" fillId="16" borderId="0" xfId="0" applyFont="1" applyFill="1" applyAlignment="1">
      <alignment horizontal="right" wrapText="1"/>
    </xf>
    <xf numFmtId="165" fontId="4" fillId="16" borderId="0" xfId="1" applyNumberFormat="1" applyFont="1" applyFill="1" applyBorder="1" applyAlignment="1">
      <alignment vertical="center"/>
    </xf>
    <xf numFmtId="0" fontId="7" fillId="16" borderId="0" xfId="0" applyFont="1" applyFill="1" applyAlignment="1">
      <alignment horizontal="right" wrapText="1"/>
    </xf>
    <xf numFmtId="165" fontId="7" fillId="16" borderId="0" xfId="1" applyNumberFormat="1" applyFont="1" applyFill="1" applyBorder="1" applyAlignment="1">
      <alignment vertical="center"/>
    </xf>
    <xf numFmtId="0" fontId="4" fillId="12" borderId="0" xfId="0" applyFont="1" applyFill="1" applyAlignment="1">
      <alignment horizontal="right" wrapText="1"/>
    </xf>
    <xf numFmtId="165" fontId="4" fillId="12" borderId="0" xfId="1" applyNumberFormat="1" applyFont="1" applyFill="1" applyBorder="1" applyAlignment="1">
      <alignment vertical="center"/>
    </xf>
    <xf numFmtId="165" fontId="7" fillId="12" borderId="0" xfId="1" applyNumberFormat="1" applyFont="1" applyFill="1" applyBorder="1" applyAlignment="1">
      <alignment vertical="center"/>
    </xf>
    <xf numFmtId="0" fontId="4" fillId="12" borderId="2" xfId="0" applyFont="1" applyFill="1" applyBorder="1" applyAlignment="1">
      <alignment horizontal="right" wrapText="1"/>
    </xf>
    <xf numFmtId="165" fontId="4" fillId="12" borderId="2" xfId="1" applyNumberFormat="1" applyFont="1" applyFill="1" applyBorder="1" applyAlignment="1">
      <alignment vertical="center"/>
    </xf>
    <xf numFmtId="0" fontId="7" fillId="12" borderId="2" xfId="5" applyFont="1" applyFill="1" applyBorder="1" applyAlignment="1">
      <alignment horizontal="right" wrapText="1"/>
    </xf>
    <xf numFmtId="165" fontId="7" fillId="12" borderId="2" xfId="1" applyNumberFormat="1" applyFont="1" applyFill="1" applyBorder="1" applyAlignment="1">
      <alignment vertical="center"/>
    </xf>
    <xf numFmtId="0" fontId="4" fillId="0" borderId="0" xfId="0" applyFont="1" applyAlignment="1">
      <alignment horizontal="right" wrapText="1"/>
    </xf>
    <xf numFmtId="165" fontId="4" fillId="0" borderId="0" xfId="1" applyNumberFormat="1" applyFont="1" applyFill="1" applyBorder="1" applyAlignment="1">
      <alignment vertical="center"/>
    </xf>
    <xf numFmtId="0" fontId="4" fillId="0" borderId="0" xfId="6" applyFont="1" applyFill="1" applyBorder="1" applyAlignment="1">
      <alignment horizontal="right" wrapText="1"/>
    </xf>
    <xf numFmtId="165" fontId="4" fillId="0" borderId="0" xfId="1" applyNumberFormat="1" applyFont="1" applyFill="1" applyBorder="1"/>
    <xf numFmtId="0" fontId="10" fillId="0" borderId="0" xfId="0" applyFont="1" applyAlignment="1">
      <alignment horizontal="right" wrapText="1"/>
    </xf>
    <xf numFmtId="167" fontId="4" fillId="0" borderId="0" xfId="1" applyNumberFormat="1" applyFont="1" applyFill="1" applyBorder="1"/>
    <xf numFmtId="41" fontId="4" fillId="0" borderId="0" xfId="1" applyFont="1"/>
    <xf numFmtId="0" fontId="8" fillId="9" borderId="0" xfId="0" applyFont="1" applyFill="1" applyAlignment="1">
      <alignment wrapText="1"/>
    </xf>
    <xf numFmtId="0" fontId="6" fillId="7" borderId="0" xfId="7" applyFont="1"/>
    <xf numFmtId="0" fontId="7" fillId="0" borderId="2" xfId="0" applyFont="1" applyBorder="1"/>
    <xf numFmtId="168" fontId="7" fillId="0" borderId="2" xfId="0" applyNumberFormat="1" applyFont="1" applyBorder="1" applyAlignment="1">
      <alignment horizontal="right"/>
    </xf>
    <xf numFmtId="168" fontId="4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7" fillId="14" borderId="2" xfId="6" applyFont="1" applyFill="1" applyBorder="1"/>
    <xf numFmtId="168" fontId="7" fillId="14" borderId="2" xfId="6" applyNumberFormat="1" applyFont="1" applyFill="1" applyBorder="1" applyAlignment="1">
      <alignment horizontal="right"/>
    </xf>
    <xf numFmtId="168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 wrapText="1"/>
    </xf>
    <xf numFmtId="0" fontId="7" fillId="14" borderId="2" xfId="6" applyFont="1" applyFill="1" applyBorder="1" applyAlignment="1">
      <alignment horizontal="right"/>
    </xf>
    <xf numFmtId="0" fontId="11" fillId="17" borderId="0" xfId="4" applyFont="1" applyFill="1" applyAlignment="1">
      <alignment horizontal="right"/>
    </xf>
    <xf numFmtId="0" fontId="11" fillId="17" borderId="0" xfId="0" applyFont="1" applyFill="1" applyAlignment="1">
      <alignment horizontal="right"/>
    </xf>
    <xf numFmtId="168" fontId="4" fillId="0" borderId="0" xfId="1" applyNumberFormat="1" applyFont="1" applyAlignment="1">
      <alignment horizontal="right"/>
    </xf>
  </cellXfs>
  <cellStyles count="8">
    <cellStyle name="20% - Énfasis1" xfId="2" builtinId="30"/>
    <cellStyle name="20% - Énfasis2" xfId="5" builtinId="34"/>
    <cellStyle name="40% - Énfasis1" xfId="3" builtinId="31"/>
    <cellStyle name="40% - Énfasis2" xfId="6" builtinId="35"/>
    <cellStyle name="Énfasis2" xfId="4" builtinId="33"/>
    <cellStyle name="Énfasis5" xfId="7" builtinId="45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D8F9-0ECB-4AEB-9CBC-3C60EE7501F2}">
  <dimension ref="A1:C24"/>
  <sheetViews>
    <sheetView workbookViewId="0">
      <selection activeCell="A8" sqref="A8"/>
    </sheetView>
  </sheetViews>
  <sheetFormatPr baseColWidth="10" defaultRowHeight="14.4" x14ac:dyDescent="0.3"/>
  <cols>
    <col min="1" max="1" width="64.5546875" customWidth="1"/>
  </cols>
  <sheetData>
    <row r="1" spans="1:3" x14ac:dyDescent="0.3">
      <c r="A1" s="1" t="s">
        <v>20</v>
      </c>
      <c r="B1" s="1"/>
      <c r="C1" s="1"/>
    </row>
    <row r="2" spans="1:3" x14ac:dyDescent="0.3">
      <c r="A2" s="23" t="s">
        <v>21</v>
      </c>
      <c r="B2" s="4">
        <v>2024</v>
      </c>
      <c r="C2" s="4">
        <v>2023</v>
      </c>
    </row>
    <row r="3" spans="1:3" x14ac:dyDescent="0.3">
      <c r="A3" s="24" t="s">
        <v>22</v>
      </c>
      <c r="B3" s="25">
        <v>3000</v>
      </c>
      <c r="C3" s="25">
        <v>2850</v>
      </c>
    </row>
    <row r="4" spans="1:3" x14ac:dyDescent="0.3">
      <c r="A4" s="26" t="s">
        <v>23</v>
      </c>
      <c r="B4" s="27">
        <v>2616.1999999999998</v>
      </c>
      <c r="C4" s="27">
        <v>2497</v>
      </c>
    </row>
    <row r="5" spans="1:3" x14ac:dyDescent="0.3">
      <c r="A5" s="28" t="s">
        <v>24</v>
      </c>
      <c r="B5" s="29">
        <v>383.8</v>
      </c>
      <c r="C5" s="29">
        <v>353</v>
      </c>
    </row>
    <row r="6" spans="1:3" x14ac:dyDescent="0.3">
      <c r="A6" s="26" t="s">
        <v>25</v>
      </c>
      <c r="B6" s="27">
        <v>100</v>
      </c>
      <c r="C6" s="27">
        <v>90</v>
      </c>
    </row>
    <row r="7" spans="1:3" x14ac:dyDescent="0.3">
      <c r="A7" s="26" t="s">
        <v>26</v>
      </c>
      <c r="B7" s="27"/>
      <c r="C7" s="27"/>
    </row>
    <row r="8" spans="1:3" x14ac:dyDescent="0.3">
      <c r="A8" s="26" t="s">
        <v>27</v>
      </c>
      <c r="B8" s="27">
        <v>100</v>
      </c>
      <c r="C8" s="27">
        <v>90</v>
      </c>
    </row>
    <row r="9" spans="1:3" x14ac:dyDescent="0.3">
      <c r="A9" s="28" t="s">
        <v>28</v>
      </c>
      <c r="B9" s="29">
        <f>+B5-B8</f>
        <v>283.8</v>
      </c>
      <c r="C9" s="29">
        <f>+C5-C8</f>
        <v>263</v>
      </c>
    </row>
    <row r="10" spans="1:3" x14ac:dyDescent="0.3">
      <c r="A10" s="30" t="s">
        <v>29</v>
      </c>
      <c r="B10" s="31">
        <v>88</v>
      </c>
      <c r="C10" s="31">
        <v>60</v>
      </c>
    </row>
    <row r="11" spans="1:3" x14ac:dyDescent="0.3">
      <c r="A11" s="30" t="s">
        <v>30</v>
      </c>
      <c r="B11" s="32">
        <v>195.8</v>
      </c>
      <c r="C11" s="32">
        <v>203</v>
      </c>
    </row>
    <row r="12" spans="1:3" x14ac:dyDescent="0.3">
      <c r="A12" s="30" t="s">
        <v>31</v>
      </c>
      <c r="B12" s="31">
        <v>78.3</v>
      </c>
      <c r="C12" s="31">
        <v>81.2</v>
      </c>
    </row>
    <row r="13" spans="1:3" x14ac:dyDescent="0.3">
      <c r="A13" s="30" t="s">
        <v>32</v>
      </c>
      <c r="B13" s="31">
        <v>117.5</v>
      </c>
      <c r="C13" s="31">
        <v>121.8</v>
      </c>
    </row>
    <row r="14" spans="1:3" ht="15" thickBot="1" x14ac:dyDescent="0.35">
      <c r="A14" s="33" t="s">
        <v>33</v>
      </c>
      <c r="B14" s="34">
        <v>4</v>
      </c>
      <c r="C14" s="34">
        <v>4</v>
      </c>
    </row>
    <row r="15" spans="1:3" ht="15" thickBot="1" x14ac:dyDescent="0.35">
      <c r="A15" s="35" t="s">
        <v>34</v>
      </c>
      <c r="B15" s="36">
        <v>113.5</v>
      </c>
      <c r="C15" s="36">
        <v>117.8</v>
      </c>
    </row>
    <row r="16" spans="1:3" x14ac:dyDescent="0.3">
      <c r="A16" s="37" t="s">
        <v>35</v>
      </c>
      <c r="B16" s="38">
        <v>57.5</v>
      </c>
      <c r="C16" s="38">
        <v>53</v>
      </c>
    </row>
    <row r="17" spans="1:3" x14ac:dyDescent="0.3">
      <c r="A17" s="37" t="s">
        <v>36</v>
      </c>
      <c r="B17" s="38">
        <v>56</v>
      </c>
      <c r="C17" s="38">
        <v>64.8</v>
      </c>
    </row>
    <row r="18" spans="1:3" x14ac:dyDescent="0.3">
      <c r="A18" s="39" t="s">
        <v>37</v>
      </c>
      <c r="B18" s="40"/>
      <c r="C18" s="40"/>
    </row>
    <row r="19" spans="1:3" x14ac:dyDescent="0.3">
      <c r="A19" s="41" t="s">
        <v>38</v>
      </c>
      <c r="B19" s="42">
        <v>23</v>
      </c>
      <c r="C19" s="42">
        <v>26</v>
      </c>
    </row>
    <row r="20" spans="1:3" x14ac:dyDescent="0.3">
      <c r="A20" s="41" t="s">
        <v>39</v>
      </c>
      <c r="B20" s="42">
        <v>2.27</v>
      </c>
      <c r="C20" s="42">
        <v>2.36</v>
      </c>
    </row>
    <row r="21" spans="1:3" x14ac:dyDescent="0.3">
      <c r="A21" s="41" t="s">
        <v>40</v>
      </c>
      <c r="B21" s="42">
        <v>1.1499999999999999</v>
      </c>
      <c r="C21" s="42">
        <v>1.06</v>
      </c>
    </row>
    <row r="22" spans="1:3" x14ac:dyDescent="0.3">
      <c r="A22" s="41" t="s">
        <v>41</v>
      </c>
      <c r="B22" s="42">
        <v>17.920000000000002</v>
      </c>
      <c r="C22" s="42">
        <v>16.8</v>
      </c>
    </row>
    <row r="23" spans="1:3" x14ac:dyDescent="0.3">
      <c r="A23" s="41" t="s">
        <v>42</v>
      </c>
      <c r="B23" s="42">
        <v>4.2699999999999996</v>
      </c>
      <c r="C23" s="42">
        <v>4.16</v>
      </c>
    </row>
    <row r="24" spans="1:3" x14ac:dyDescent="0.3">
      <c r="A24" s="41" t="s">
        <v>43</v>
      </c>
      <c r="B24" s="43">
        <v>50000000</v>
      </c>
      <c r="C24" s="43">
        <v>50000000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8E9F-C78C-44B2-9780-FB7974D52F2E}">
  <dimension ref="A1:C73"/>
  <sheetViews>
    <sheetView workbookViewId="0">
      <selection activeCell="C50" sqref="C50:C64"/>
    </sheetView>
  </sheetViews>
  <sheetFormatPr baseColWidth="10" defaultRowHeight="14.4" x14ac:dyDescent="0.3"/>
  <cols>
    <col min="1" max="1" width="41.88671875" bestFit="1" customWidth="1"/>
  </cols>
  <sheetData>
    <row r="1" spans="1:3" x14ac:dyDescent="0.3">
      <c r="A1" s="1" t="s">
        <v>0</v>
      </c>
      <c r="B1" s="1"/>
      <c r="C1" s="1"/>
    </row>
    <row r="2" spans="1:3" x14ac:dyDescent="0.3">
      <c r="A2" s="2" t="s">
        <v>1</v>
      </c>
      <c r="B2" s="2"/>
      <c r="C2" s="2"/>
    </row>
    <row r="3" spans="1:3" x14ac:dyDescent="0.3">
      <c r="A3" s="3"/>
      <c r="B3" s="4">
        <v>2024</v>
      </c>
      <c r="C3" s="4">
        <v>2023</v>
      </c>
    </row>
    <row r="4" spans="1:3" x14ac:dyDescent="0.3">
      <c r="A4" s="5" t="s">
        <v>2</v>
      </c>
      <c r="B4" s="6">
        <v>10</v>
      </c>
      <c r="C4" s="6">
        <v>15</v>
      </c>
    </row>
    <row r="5" spans="1:3" x14ac:dyDescent="0.3">
      <c r="A5" s="7" t="s">
        <v>3</v>
      </c>
      <c r="B5" s="8">
        <v>0</v>
      </c>
      <c r="C5" s="8">
        <v>65</v>
      </c>
    </row>
    <row r="6" spans="1:3" x14ac:dyDescent="0.3">
      <c r="A6" s="5" t="s">
        <v>4</v>
      </c>
      <c r="B6" s="6">
        <v>375</v>
      </c>
      <c r="C6" s="6">
        <v>315</v>
      </c>
    </row>
    <row r="7" spans="1:3" x14ac:dyDescent="0.3">
      <c r="A7" s="5" t="s">
        <v>5</v>
      </c>
      <c r="B7" s="6">
        <v>615</v>
      </c>
      <c r="C7" s="6">
        <v>415</v>
      </c>
    </row>
    <row r="8" spans="1:3" ht="15" thickBot="1" x14ac:dyDescent="0.35">
      <c r="A8" s="9" t="s">
        <v>6</v>
      </c>
      <c r="B8" s="10">
        <v>1000</v>
      </c>
      <c r="C8" s="10">
        <v>810</v>
      </c>
    </row>
    <row r="9" spans="1:3" x14ac:dyDescent="0.3">
      <c r="A9" s="11" t="s">
        <v>7</v>
      </c>
      <c r="B9" s="12">
        <f>1000</f>
        <v>1000</v>
      </c>
      <c r="C9" s="12">
        <f>870</f>
        <v>870</v>
      </c>
    </row>
    <row r="10" spans="1:3" ht="15" thickBot="1" x14ac:dyDescent="0.35">
      <c r="A10" s="13" t="s">
        <v>8</v>
      </c>
      <c r="B10" s="14">
        <v>2000</v>
      </c>
      <c r="C10" s="14">
        <v>1680</v>
      </c>
    </row>
    <row r="11" spans="1:3" x14ac:dyDescent="0.3">
      <c r="A11" s="15"/>
      <c r="B11" s="16"/>
      <c r="C11" s="16"/>
    </row>
    <row r="12" spans="1:3" x14ac:dyDescent="0.3">
      <c r="A12" s="5" t="s">
        <v>9</v>
      </c>
      <c r="B12" s="6">
        <v>60</v>
      </c>
      <c r="C12" s="6">
        <v>30</v>
      </c>
    </row>
    <row r="13" spans="1:3" x14ac:dyDescent="0.3">
      <c r="A13" s="7" t="s">
        <v>10</v>
      </c>
      <c r="B13" s="8">
        <v>110</v>
      </c>
      <c r="C13" s="8">
        <v>60</v>
      </c>
    </row>
    <row r="14" spans="1:3" x14ac:dyDescent="0.3">
      <c r="A14" s="5" t="s">
        <v>11</v>
      </c>
      <c r="B14" s="6">
        <v>140</v>
      </c>
      <c r="C14" s="6">
        <v>130</v>
      </c>
    </row>
    <row r="15" spans="1:3" ht="15" thickBot="1" x14ac:dyDescent="0.35">
      <c r="A15" s="17" t="s">
        <v>12</v>
      </c>
      <c r="B15" s="18">
        <v>310</v>
      </c>
      <c r="C15" s="18">
        <v>220</v>
      </c>
    </row>
    <row r="16" spans="1:3" x14ac:dyDescent="0.3">
      <c r="A16" s="7" t="s">
        <v>13</v>
      </c>
      <c r="B16" s="8">
        <v>754</v>
      </c>
      <c r="C16" s="8">
        <v>580</v>
      </c>
    </row>
    <row r="17" spans="1:3" ht="15" thickBot="1" x14ac:dyDescent="0.35">
      <c r="A17" s="19" t="s">
        <v>14</v>
      </c>
      <c r="B17" s="20">
        <v>1064</v>
      </c>
      <c r="C17" s="20">
        <v>800</v>
      </c>
    </row>
    <row r="18" spans="1:3" x14ac:dyDescent="0.3">
      <c r="A18" s="7" t="s">
        <v>15</v>
      </c>
      <c r="B18" s="8">
        <v>40</v>
      </c>
      <c r="C18" s="8">
        <v>40</v>
      </c>
    </row>
    <row r="19" spans="1:3" x14ac:dyDescent="0.3">
      <c r="A19" s="7" t="s">
        <v>16</v>
      </c>
      <c r="B19" s="8">
        <v>130</v>
      </c>
      <c r="C19" s="8">
        <v>130</v>
      </c>
    </row>
    <row r="20" spans="1:3" x14ac:dyDescent="0.3">
      <c r="A20" s="7" t="s">
        <v>17</v>
      </c>
      <c r="B20" s="8">
        <v>766</v>
      </c>
      <c r="C20" s="8">
        <v>710</v>
      </c>
    </row>
    <row r="21" spans="1:3" ht="15" thickBot="1" x14ac:dyDescent="0.35">
      <c r="A21" s="21" t="s">
        <v>18</v>
      </c>
      <c r="B21" s="22">
        <v>896</v>
      </c>
      <c r="C21" s="22">
        <v>840</v>
      </c>
    </row>
    <row r="22" spans="1:3" ht="15" thickBot="1" x14ac:dyDescent="0.35">
      <c r="A22" s="13" t="s">
        <v>19</v>
      </c>
      <c r="B22" s="14">
        <v>2000</v>
      </c>
      <c r="C22" s="14">
        <v>1680</v>
      </c>
    </row>
    <row r="23" spans="1:3" x14ac:dyDescent="0.3">
      <c r="A23" s="15"/>
      <c r="B23" s="15"/>
      <c r="C23" s="15"/>
    </row>
    <row r="49" spans="1:3" x14ac:dyDescent="0.3">
      <c r="A49" s="15"/>
      <c r="B49" s="15"/>
      <c r="C49" s="15"/>
    </row>
    <row r="50" spans="1:3" x14ac:dyDescent="0.3">
      <c r="C50" s="15"/>
    </row>
    <row r="51" spans="1:3" x14ac:dyDescent="0.3">
      <c r="C51" s="15"/>
    </row>
    <row r="52" spans="1:3" x14ac:dyDescent="0.3">
      <c r="C52" s="15"/>
    </row>
    <row r="53" spans="1:3" x14ac:dyDescent="0.3">
      <c r="C53" s="15"/>
    </row>
    <row r="54" spans="1:3" x14ac:dyDescent="0.3">
      <c r="C54" s="15"/>
    </row>
    <row r="55" spans="1:3" x14ac:dyDescent="0.3">
      <c r="C55" s="15"/>
    </row>
    <row r="56" spans="1:3" x14ac:dyDescent="0.3">
      <c r="C56" s="15"/>
    </row>
    <row r="57" spans="1:3" x14ac:dyDescent="0.3">
      <c r="C57" s="15"/>
    </row>
    <row r="58" spans="1:3" x14ac:dyDescent="0.3">
      <c r="C58" s="15"/>
    </row>
    <row r="59" spans="1:3" x14ac:dyDescent="0.3">
      <c r="C59" s="15"/>
    </row>
    <row r="60" spans="1:3" x14ac:dyDescent="0.3">
      <c r="C60" s="15"/>
    </row>
    <row r="61" spans="1:3" x14ac:dyDescent="0.3">
      <c r="C61" s="15"/>
    </row>
    <row r="62" spans="1:3" x14ac:dyDescent="0.3">
      <c r="C62" s="15"/>
    </row>
    <row r="63" spans="1:3" x14ac:dyDescent="0.3">
      <c r="C63" s="15"/>
    </row>
    <row r="64" spans="1:3" x14ac:dyDescent="0.3">
      <c r="C64" s="15"/>
    </row>
    <row r="65" spans="3:3" x14ac:dyDescent="0.3">
      <c r="C65" s="15"/>
    </row>
    <row r="66" spans="3:3" x14ac:dyDescent="0.3">
      <c r="C66" s="15"/>
    </row>
    <row r="67" spans="3:3" x14ac:dyDescent="0.3">
      <c r="C67" s="15"/>
    </row>
    <row r="68" spans="3:3" x14ac:dyDescent="0.3">
      <c r="C68" s="15"/>
    </row>
    <row r="69" spans="3:3" x14ac:dyDescent="0.3">
      <c r="C69" s="15"/>
    </row>
    <row r="70" spans="3:3" x14ac:dyDescent="0.3">
      <c r="C70" s="15"/>
    </row>
    <row r="71" spans="3:3" x14ac:dyDescent="0.3">
      <c r="C71" s="15"/>
    </row>
    <row r="72" spans="3:3" x14ac:dyDescent="0.3">
      <c r="C72" s="15"/>
    </row>
    <row r="73" spans="3:3" x14ac:dyDescent="0.3">
      <c r="C73" s="15"/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9013-68C3-4AF8-8043-98A8769ACCD5}">
  <dimension ref="A1:B24"/>
  <sheetViews>
    <sheetView tabSelected="1" workbookViewId="0">
      <selection activeCell="C12" sqref="C12"/>
    </sheetView>
  </sheetViews>
  <sheetFormatPr baseColWidth="10" defaultRowHeight="14.4" x14ac:dyDescent="0.3"/>
  <cols>
    <col min="1" max="1" width="41.88671875" bestFit="1" customWidth="1"/>
  </cols>
  <sheetData>
    <row r="1" spans="1:2" x14ac:dyDescent="0.3">
      <c r="A1" s="44" t="s">
        <v>44</v>
      </c>
      <c r="B1" s="44"/>
    </row>
    <row r="2" spans="1:2" x14ac:dyDescent="0.3">
      <c r="A2" s="45" t="s">
        <v>45</v>
      </c>
      <c r="B2" s="45"/>
    </row>
    <row r="3" spans="1:2" ht="15" thickBot="1" x14ac:dyDescent="0.35">
      <c r="A3" s="46" t="s">
        <v>46</v>
      </c>
      <c r="B3" s="47">
        <v>117.5</v>
      </c>
    </row>
    <row r="4" spans="1:2" x14ac:dyDescent="0.3">
      <c r="A4" s="15" t="s">
        <v>47</v>
      </c>
      <c r="B4" s="48"/>
    </row>
    <row r="5" spans="1:2" x14ac:dyDescent="0.3">
      <c r="A5" s="15" t="s">
        <v>48</v>
      </c>
      <c r="B5" s="48"/>
    </row>
    <row r="6" spans="1:2" x14ac:dyDescent="0.3">
      <c r="A6" s="49" t="s">
        <v>25</v>
      </c>
      <c r="B6" s="48">
        <v>100</v>
      </c>
    </row>
    <row r="7" spans="1:2" x14ac:dyDescent="0.3">
      <c r="A7" s="15" t="s">
        <v>49</v>
      </c>
      <c r="B7" s="48"/>
    </row>
    <row r="8" spans="1:2" x14ac:dyDescent="0.3">
      <c r="A8" s="49" t="s">
        <v>50</v>
      </c>
      <c r="B8" s="48">
        <v>-60</v>
      </c>
    </row>
    <row r="9" spans="1:2" x14ac:dyDescent="0.3">
      <c r="A9" s="49" t="s">
        <v>51</v>
      </c>
      <c r="B9" s="48">
        <v>-200</v>
      </c>
    </row>
    <row r="10" spans="1:2" x14ac:dyDescent="0.3">
      <c r="A10" s="49" t="s">
        <v>52</v>
      </c>
      <c r="B10" s="48">
        <v>30</v>
      </c>
    </row>
    <row r="11" spans="1:2" x14ac:dyDescent="0.3">
      <c r="A11" s="49" t="s">
        <v>53</v>
      </c>
      <c r="B11" s="48">
        <v>10</v>
      </c>
    </row>
    <row r="12" spans="1:2" ht="15" thickBot="1" x14ac:dyDescent="0.35">
      <c r="A12" s="50" t="s">
        <v>54</v>
      </c>
      <c r="B12" s="51">
        <v>-2.5</v>
      </c>
    </row>
    <row r="13" spans="1:2" x14ac:dyDescent="0.3">
      <c r="A13" s="45" t="s">
        <v>55</v>
      </c>
      <c r="B13" s="45"/>
    </row>
    <row r="14" spans="1:2" x14ac:dyDescent="0.3">
      <c r="A14" s="49" t="s">
        <v>56</v>
      </c>
      <c r="B14" s="52">
        <v>-230</v>
      </c>
    </row>
    <row r="15" spans="1:2" x14ac:dyDescent="0.3">
      <c r="A15" s="45" t="s">
        <v>57</v>
      </c>
      <c r="B15" s="45"/>
    </row>
    <row r="16" spans="1:2" x14ac:dyDescent="0.3">
      <c r="A16" s="49" t="s">
        <v>58</v>
      </c>
      <c r="B16" s="48">
        <v>65</v>
      </c>
    </row>
    <row r="17" spans="1:2" x14ac:dyDescent="0.3">
      <c r="A17" s="49" t="s">
        <v>59</v>
      </c>
      <c r="B17" s="48">
        <v>50</v>
      </c>
    </row>
    <row r="18" spans="1:2" x14ac:dyDescent="0.3">
      <c r="A18" s="49" t="s">
        <v>60</v>
      </c>
      <c r="B18" s="48">
        <v>174</v>
      </c>
    </row>
    <row r="19" spans="1:2" x14ac:dyDescent="0.3">
      <c r="A19" s="53" t="s">
        <v>61</v>
      </c>
      <c r="B19" s="48">
        <v>-61.5</v>
      </c>
    </row>
    <row r="20" spans="1:2" ht="15" thickBot="1" x14ac:dyDescent="0.35">
      <c r="A20" s="54" t="s">
        <v>62</v>
      </c>
      <c r="B20" s="51">
        <v>227.5</v>
      </c>
    </row>
    <row r="21" spans="1:2" x14ac:dyDescent="0.3">
      <c r="A21" s="55" t="s">
        <v>63</v>
      </c>
      <c r="B21" s="56"/>
    </row>
    <row r="22" spans="1:2" x14ac:dyDescent="0.3">
      <c r="A22" s="49" t="s">
        <v>64</v>
      </c>
      <c r="B22" s="57">
        <v>-5</v>
      </c>
    </row>
    <row r="23" spans="1:2" x14ac:dyDescent="0.3">
      <c r="A23" s="49" t="s">
        <v>65</v>
      </c>
      <c r="B23" s="57">
        <v>15</v>
      </c>
    </row>
    <row r="24" spans="1:2" x14ac:dyDescent="0.3">
      <c r="A24" s="49" t="s">
        <v>66</v>
      </c>
      <c r="B24" s="57">
        <v>10</v>
      </c>
    </row>
  </sheetData>
  <mergeCells count="4">
    <mergeCell ref="A13:B13"/>
    <mergeCell ref="A15:B15"/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balance</vt:lpstr>
      <vt:lpstr>efectivo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Mario Ortega</dc:creator>
  <cp:lastModifiedBy>Jorge Mario Ortega</cp:lastModifiedBy>
  <dcterms:created xsi:type="dcterms:W3CDTF">2026-10-03T16:14:10Z</dcterms:created>
  <dcterms:modified xsi:type="dcterms:W3CDTF">2026-10-03T16:15:58Z</dcterms:modified>
</cp:coreProperties>
</file>