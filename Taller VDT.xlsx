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AC87177B-EE96-4943-A85A-51B1DA4E0CA2}" xr6:coauthVersionLast="47" xr6:coauthVersionMax="47" xr10:uidLastSave="{00000000-0000-0000-0000-000000000000}"/>
  <bookViews>
    <workbookView xWindow="-108" yWindow="-108" windowWidth="23256" windowHeight="12456" tabRatio="801" firstSheet="1" activeTab="2" xr2:uid="{00000000-000D-0000-FFFF-FFFF00000000}"/>
  </bookViews>
  <sheets>
    <sheet name="ListaFórmulasFinancieras" sheetId="2" state="hidden" r:id="rId1"/>
    <sheet name="VDT" sheetId="3" r:id="rId2"/>
    <sheet name="FEL" sheetId="4" r:id="rId3"/>
    <sheet name="análisisHipótesis"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4" l="1"/>
  <c r="C22" i="4"/>
  <c r="C15" i="4"/>
  <c r="C14" i="4"/>
  <c r="C13" i="4"/>
  <c r="B188" i="3"/>
  <c r="B169" i="3"/>
  <c r="B171" i="3"/>
  <c r="B170" i="3"/>
  <c r="B153" i="3"/>
  <c r="B152" i="3"/>
  <c r="B134" i="3"/>
  <c r="B133" i="3"/>
  <c r="B116" i="3"/>
  <c r="B70" i="3"/>
  <c r="B101" i="3"/>
  <c r="B100" i="3"/>
  <c r="B86" i="3"/>
  <c r="B71" i="3"/>
  <c r="B85" i="3"/>
  <c r="B55" i="3"/>
  <c r="B34" i="3"/>
  <c r="B38" i="3" s="1"/>
  <c r="B21" i="3"/>
  <c r="D101" i="3"/>
  <c r="E15" i="4"/>
  <c r="E14" i="4"/>
  <c r="E13" i="4"/>
  <c r="B135" i="3" l="1"/>
  <c r="B67" i="3"/>
  <c r="D68" i="3" s="1"/>
  <c r="D71" i="3"/>
  <c r="D21" i="3"/>
  <c r="D38" i="3"/>
  <c r="D85" i="3"/>
  <c r="D86" i="3"/>
  <c r="D153" i="3"/>
  <c r="D152" i="3"/>
  <c r="D171" i="3"/>
  <c r="D169" i="3"/>
  <c r="D134" i="3"/>
  <c r="D55" i="3"/>
  <c r="D133" i="3"/>
  <c r="D188" i="3"/>
  <c r="D170" i="3"/>
  <c r="D100" i="3"/>
  <c r="D116" i="3"/>
</calcChain>
</file>

<file path=xl/sharedStrings.xml><?xml version="1.0" encoding="utf-8"?>
<sst xmlns="http://schemas.openxmlformats.org/spreadsheetml/2006/main" count="345" uniqueCount="205">
  <si>
    <t>Descripción</t>
  </si>
  <si>
    <t>Devuelve la duración anual de un valor bursátil con pagos de interés periódico.</t>
  </si>
  <si>
    <t>Devuelve la duración de Macauley modificada de un valor bursátil con un valor nominal supuesto de 100 $.</t>
  </si>
  <si>
    <t>Devuelve la tasa de interés anual efectiva.</t>
  </si>
  <si>
    <t>Devuelve el número de períodos de una inversión.</t>
  </si>
  <si>
    <t>Devuelve la cantidad de períodos necesarios para que una inversión alcance un valor especificado.</t>
  </si>
  <si>
    <t>Devuelve el pago periódico de una anualidad.</t>
  </si>
  <si>
    <t>Devuelve el interés acumulado pagado entre dos períodos.</t>
  </si>
  <si>
    <t>Devuelve el capital acumulado pagado de un préstamo entre dos períodos.</t>
  </si>
  <si>
    <t>Devuelve el pago de intereses de una inversión durante un período determinado.</t>
  </si>
  <si>
    <t>Devuelve el pago de capital de una inversión durante un período determinado.</t>
  </si>
  <si>
    <t>Devuelve el precio por un valor nominal de 100 $ de un valor bursátil que paga una tasa de interés periódico.</t>
  </si>
  <si>
    <t>Devuelve el precio por un valor nominal de 100 $ de un valor bursátil con descuento.</t>
  </si>
  <si>
    <t>Devuelve el rendimiento de un valor bursátil que paga intereses periódicos.</t>
  </si>
  <si>
    <t>Devuelve el rendimiento anual de un valor bursátil con descuento; por ejemplo, una letra del Tesoro (de EE. UU.)</t>
  </si>
  <si>
    <t>Devuelve el rendimiento anual de un valor bursátil que paga intereses al vencimiento.</t>
  </si>
  <si>
    <t>Devuelve una tasa de interés equivalente para el crecimiento de una inversión.</t>
  </si>
  <si>
    <t>Devuelve la tasa de interés por período de una anualidad.</t>
  </si>
  <si>
    <t>Devuelve la tasa de descuento de un valor bursátil.</t>
  </si>
  <si>
    <t>Devuelve la tasa de interés para la inversión total de un valor bursátil.</t>
  </si>
  <si>
    <t>Devuelve la tasa nominal de interés anual.</t>
  </si>
  <si>
    <t>Devuelve la tasa interna de retorno para una serie de flujos de efectivo.</t>
  </si>
  <si>
    <t>Devuelve la tasa interna de retorno para un flujo de efectivo que no es necesariamente periódico.</t>
  </si>
  <si>
    <t>Devuelve la tasa interna de retorno donde se financian flujos de efectivo positivos y negativos a tasas diferentes.</t>
  </si>
  <si>
    <t>Devuelve el valor actual de una inversión.</t>
  </si>
  <si>
    <t>Devuelve el valor futuro de una inversión.</t>
  </si>
  <si>
    <t>Devuelve el valor futuro de un capital inicial después de aplicar una serie de tasas de interés compuesto.</t>
  </si>
  <si>
    <t>Devuelve el valor neto actual de una inversión en función de una serie de flujos periódicos de efectivo y una tasa de descuento.</t>
  </si>
  <si>
    <t>Devuelve el valor neto actual para un flujo de efectivo que no es necesariamente periódico.</t>
  </si>
  <si>
    <t>VALOR ACTUAL</t>
  </si>
  <si>
    <t>TASA</t>
  </si>
  <si>
    <t>NPER</t>
  </si>
  <si>
    <t>PAGO</t>
  </si>
  <si>
    <t>VF</t>
  </si>
  <si>
    <t>VA</t>
  </si>
  <si>
    <t>VALOR FINAL</t>
  </si>
  <si>
    <t>PAGOINT</t>
  </si>
  <si>
    <t>Período</t>
  </si>
  <si>
    <t>PAGOPRIN</t>
  </si>
  <si>
    <t>PAGO.INT.ENTRE</t>
  </si>
  <si>
    <t>Tipo</t>
  </si>
  <si>
    <t>PAGO.PRINC.ENTRE</t>
  </si>
  <si>
    <t>VF.PLAN</t>
  </si>
  <si>
    <t>Principal</t>
  </si>
  <si>
    <t>Interés año 1</t>
  </si>
  <si>
    <t>Interés año 2</t>
  </si>
  <si>
    <t>Interés año 3</t>
  </si>
  <si>
    <t>Interés año 4</t>
  </si>
  <si>
    <t>Interés año 5</t>
  </si>
  <si>
    <t>FLUJO DE CAJA LIBRE PERIÓDICO</t>
  </si>
  <si>
    <t>Flujo de Caja Libre Neto</t>
  </si>
  <si>
    <t>Tasa de Descuento</t>
  </si>
  <si>
    <t>EA</t>
  </si>
  <si>
    <t>Valor Presente Neto</t>
  </si>
  <si>
    <t>VNA</t>
  </si>
  <si>
    <t>Tasa Interna de Retorno</t>
  </si>
  <si>
    <t>TIR</t>
  </si>
  <si>
    <t>FLUJO DE CAJA LIBRE NO PERIÓDICO</t>
  </si>
  <si>
    <t>VNA.NO.PER</t>
  </si>
  <si>
    <t>TIR.NO.PER</t>
  </si>
  <si>
    <t>RRI</t>
  </si>
  <si>
    <t>Calcula el interés pagado durante un período específico de una inversión.</t>
  </si>
  <si>
    <t>INT.PAGO.DIR</t>
  </si>
  <si>
    <t>Categoría</t>
  </si>
  <si>
    <t>Devuelve el interés acumulado de un valor bursátil con pagos de interés al vencimiento.</t>
  </si>
  <si>
    <t>Devuelve el interés acumulado de un valor bursátil con pagos de interés periódicos.</t>
  </si>
  <si>
    <t>Devuelve el precio por un valor nominal de 100 $ de un valor bursátil que paga interés a su vencimiento.</t>
  </si>
  <si>
    <t>Devuelve el número de días desde el principio del período de un cupón hasta la fecha de liquidación.</t>
  </si>
  <si>
    <t>Devuelve el número de días en el período de un cupón que contiene la fecha de liquidación.</t>
  </si>
  <si>
    <t>Devuelve el número de días desde la fecha de liquidación hasta la fecha del próximo cupón.</t>
  </si>
  <si>
    <t>Devuelve la fecha del próximo cupón después de la fecha de liquidación.</t>
  </si>
  <si>
    <t>Devuelve el número de pagos de cupón entre la fecha de liquidación y la fecha de vencimiento.</t>
  </si>
  <si>
    <t>Devuelve la fecha de cupón anterior a la fecha de liquidación.</t>
  </si>
  <si>
    <t>Devuelve el precio por un valor nominal de 100 $ de un valor bursátil con un primer período impar.</t>
  </si>
  <si>
    <t>Devuelve el rendimiento de un valor bursátil con un primer período impar.</t>
  </si>
  <si>
    <t>Devuelve el precio por un valor nominal de 100 $ de un valor bursátil con un último período impar.</t>
  </si>
  <si>
    <t>Devuelve el rendimiento de un valor bursátil con un último período impar.</t>
  </si>
  <si>
    <t>Devuelve la cantidad recibida al vencimiento de un valor bursátil completamente invertido.</t>
  </si>
  <si>
    <t>Devuelve el rendimiento de un bono equivalente a una letra del Tesoro (de EE. UU.).</t>
  </si>
  <si>
    <t>Devuelve el precio por un valor nominal de 100 $ de una letra del Tesoro (de EE. UU.).</t>
  </si>
  <si>
    <t>Devuelve el rendimiento de una letra del Tesoro (de EE. UU.).</t>
  </si>
  <si>
    <t>Devuelve la amortización de cada período contable mediante el uso de un coeficiente de amortización.</t>
  </si>
  <si>
    <t>CONTABLE</t>
  </si>
  <si>
    <t>Devuelve la amortización de cada uno de los períodos contables.</t>
  </si>
  <si>
    <t>Devuelve la amortización de un activo durante un período específico a través del método de amortización de saldo fijo.</t>
  </si>
  <si>
    <t>Devuelve la amortización de un activo durante un período específico a través del método de amortización por doble disminución de saldo u otro método que se especifique.</t>
  </si>
  <si>
    <t>Devuelve la amortización por método directo de un activo en un período dado.</t>
  </si>
  <si>
    <t>Devuelve la amortización por suma de dígitos de los años de un activo durante un período especificado.</t>
  </si>
  <si>
    <t>Devuelve la amortización de un activo durante un período específico o parcial a través del método de cálculo del saldo en disminución.</t>
  </si>
  <si>
    <t>Convierte un precio en dólar, expresado como fracción, en un precio en dólares, expresado como número decimal.</t>
  </si>
  <si>
    <t>DIVISAS</t>
  </si>
  <si>
    <t>Convierte un precio en dólar, expresado como número decimal, en un precio en dólares, expresado como una fracción.</t>
  </si>
  <si>
    <t>VDT</t>
  </si>
  <si>
    <t>BURSÁTIL</t>
  </si>
  <si>
    <t>Lista de Fórmulas Financieras</t>
  </si>
  <si>
    <t>P.DURACION</t>
  </si>
  <si>
    <t>Variables</t>
  </si>
  <si>
    <t>Datos</t>
  </si>
  <si>
    <t>PAGO.INT.ENTRE y PAGO.PRINC.ENTRE</t>
  </si>
  <si>
    <t>PAGOINT y PAGOPRIN</t>
  </si>
  <si>
    <t>Precio de Venta</t>
  </si>
  <si>
    <t>Tasa Impositiva</t>
  </si>
  <si>
    <t>Gasto Variable de Venta</t>
  </si>
  <si>
    <t>INT.EFECTIVO</t>
  </si>
  <si>
    <t>TIRM</t>
  </si>
  <si>
    <t>TASA.NOMINAL</t>
  </si>
  <si>
    <t>RRI </t>
  </si>
  <si>
    <t>P.DURACION </t>
  </si>
  <si>
    <t>MONEDA.DEC</t>
  </si>
  <si>
    <t>MONEDA.FRAC</t>
  </si>
  <si>
    <t>AMORTIZ.PROGRE</t>
  </si>
  <si>
    <t>AMORTIZ.LIN</t>
  </si>
  <si>
    <t>DB</t>
  </si>
  <si>
    <t>DDB</t>
  </si>
  <si>
    <t>SLN</t>
  </si>
  <si>
    <t>SYD</t>
  </si>
  <si>
    <t>DVS</t>
  </si>
  <si>
    <t>INT.ACUM.V</t>
  </si>
  <si>
    <t>INT.ACUM</t>
  </si>
  <si>
    <t>TASA.DESC</t>
  </si>
  <si>
    <t>DURACION</t>
  </si>
  <si>
    <t>TASA.INT</t>
  </si>
  <si>
    <t>DURACION.MODIF</t>
  </si>
  <si>
    <t>PRECIO</t>
  </si>
  <si>
    <t>PRECIO.DESCUENTO</t>
  </si>
  <si>
    <t>PRECIO.VENCIMIENTO</t>
  </si>
  <si>
    <t>RENDTO</t>
  </si>
  <si>
    <t>RENDTO.DESC</t>
  </si>
  <si>
    <t>RENDTO.VENCTO</t>
  </si>
  <si>
    <t>CUPON.DIAS.L1</t>
  </si>
  <si>
    <t>CUPON.DIAS</t>
  </si>
  <si>
    <t>CUPON.DIAS.L2</t>
  </si>
  <si>
    <t>CUPON.FECHA.L2</t>
  </si>
  <si>
    <t>CUPON.NUM</t>
  </si>
  <si>
    <t>CUPON.FECHA.L1</t>
  </si>
  <si>
    <t>PRECIO.PER.IRREGULAR.1</t>
  </si>
  <si>
    <t>RENDTO.PER.IRREGULAR.1</t>
  </si>
  <si>
    <t>PRECIO.PER.IRREGULAR.2</t>
  </si>
  <si>
    <t>RENDTO.PER.IRREGULAR.2</t>
  </si>
  <si>
    <t>CANTIDAD.RECIBIDA</t>
  </si>
  <si>
    <t>LETRA.DE.TES.EQV.A.BONO</t>
  </si>
  <si>
    <t>LETRA.DE.TES.PRECIO</t>
  </si>
  <si>
    <t>LETRA.DE.TES.RENDTO</t>
  </si>
  <si>
    <t>Fórmulas</t>
  </si>
  <si>
    <t>TIR Modificada</t>
  </si>
  <si>
    <t>La evaluación financiera de los proyectos de inversión implica determinar, 
1. los flujos de caja relevantes y su valor terminal, 
2. estimar el flujo de caja libre que resulta de la utilidad operacional despues de impuestos, UODI, los cambios en el capital de trabajo neto y los cambios en las inversiones fijas de la operación, 
3. despues de tener los flujos de caja libres se utilizan las formulas de la parte inferior para determinar si estos flujos contribuyen con valor para la entidad, es decir, que los retornos del capital son superiores a los costos del mismo.</t>
  </si>
  <si>
    <t>Período inicial</t>
  </si>
  <si>
    <t>Período final</t>
  </si>
  <si>
    <t>Margen Bruto</t>
  </si>
  <si>
    <t>Cuota</t>
  </si>
  <si>
    <t>Aplicaciones del Valor del Dinero en el Tiempo - Evaluar Flujos de Efectivo Libres</t>
  </si>
  <si>
    <t>Amortización a Capital</t>
  </si>
  <si>
    <t>TALLER: VALOR DEL DINERO EN EL TIEMPO — FUNCIONES FINANCIERAS EN EXCEL</t>
  </si>
  <si>
    <t>Las funciones financieras de Excel permiten determinar el valor temporal del dinero a partir de tres variables fundamentales: la tasa de interés periódica (i), el número de períodos (n) y los flujos de caja (PMT, VP, VF). El dominio de estas herramientas es esencial para la valoración de activos financieros, la evaluación de proyectos de inversión y el análisis de instrumentos de deuda en finanzas corporativas.</t>
  </si>
  <si>
    <t>EJERCICIO 1  ●  A un inversionista le ofrecen participar en un proyecto que genera flujos de caja de $10.000.000 al final de cada año durante 5 años. Al término del año 5 recibirá adicionalmente $100.000.000 por concepto de valor residual del activo. Si la Tasa de Interés de Oportunidad (TIO) del inversionista —que incorpora el riesgo del proyecto y la rentabilidad mínima requerida— es del 20% E.A., ¿cuál es el valor máximo que estaría dispuesto a pagar hoy por esta inversión?</t>
  </si>
  <si>
    <t>Calcula el Valor Presente (VP) de una serie de flujos de caja futuros descontados a una tasa de interés periódica. Constituye el fundamento del análisis de Flujo de Caja Descontado (DCF) para la valoración de activos y proyectos de inversión.</t>
  </si>
  <si>
    <t>EJERCICIO 2  ●  Un ahorrador desea constituir un fondo de inversión para financiar un viaje internacional en 10 años. El fondo reconoce una tasa del 5% E.A. (equivalente mensual: NOMINAL(5%;12)/12 ≈ 0,4074% M.V.). El ahorrador depositará $500.000 al inicio de cada mes (anualidad anticipada, tipo = 1) y realizará un aporte inicial de $10.000.000 el día de hoy. ¿Cuál será el valor acumulado al término de los 10 años?</t>
  </si>
  <si>
    <t>Calcula el Valor Futuro (VF) de una serie de flujos de caja compuesta por depósitos periódicos y/o un capital inicial, capitalizados a una tasa de interés periódica.</t>
  </si>
  <si>
    <t>EJERCICIO 3  ●  A un empresario le presentan un proyecto de inversión con las siguientes características: inversión inicial de $80.000.000, flujos de caja anuales de $5.000.000 al final de cada uno de los 5 años de operación y un valor residual de $100.000.000 al término del año 5. Si la Tasa de Interés de Oportunidad (TIO) para proyectos de riesgo similar es del 20% E.A., calcule la Tasa Interna de Retorno (TIR) del proyecto y determine si la inversión es conveniente.</t>
  </si>
  <si>
    <t>Calcula la tasa de interés periódica implícita en una serie de flujos de caja. En evaluación de proyectos equivale a la Tasa Interna de Retorno (TIR). Criterio de decisión: si TIR &gt; TIO → el proyecto agrega valor (se acepta); si TIR &lt; TIO → destruye valor (se rechaza).</t>
  </si>
  <si>
    <t>EJERCICIO 4  ●  Un deudor recibe un crédito hipotecario por $100.000.000 a una tasa del 10,88% E.A. (equivalente mensual ≈ 0,8644% M.V.), estructurado a 15 años con una cuota mensual estándar de $1.100.000. El deudor cuenta con mayor capacidad de pago y decide abonar $2.000.000 mensuales. ¿En cuántos meses liquidaría totalmente la deuda con este pago acelerado?</t>
  </si>
  <si>
    <t>Calcula el número de períodos necesarios para extinguir una deuda o alcanzar un capital objetivo, dados una tasa de interés periódica, un pago uniforme y los valores presente y futuro del instrumento.</t>
  </si>
  <si>
    <t>EJERCICIO 5  ●  Un inversionista adquirió su vivienda hace 40 años por $1.000.000 y la vendió recientemente por $250.000.000. ¿Cuál fue la tasa de valorización anual compuesta (CAGR — Compound Annual Growth Rate) del inmueble durante ese período?</t>
  </si>
  <si>
    <t>Calcula la tasa de crecimiento anual compuesta (CAGR) de una inversión a partir de su valor inicial, valor final y número de períodos. Equivalente a la función TASA con pago periódico (PMT) igual a cero.</t>
  </si>
  <si>
    <t>EJERCICIO 6  ●  Un inversionista acaba de adquirir un inmueble por $100.000.000. De acuerdo con estudios del mercado inmobiliario, la valorización histórica promedio del sector es del 9% E.A. ¿Cuántos años deberá mantener la inversión para que el valor del inmueble alcance los $250.000.000?</t>
  </si>
  <si>
    <t>Calcula el número de períodos necesarios para que un capital, capitalizado a una tasa de interés constante, alcance un valor futuro objetivo. Equivalente a NPER con pago periódico (PMT) igual a cero.</t>
  </si>
  <si>
    <t>EJERCICIO 7  ●  Las entidades financieras ofrecen créditos hipotecarios a una tasa del 0,9% M.V. Un cliente requiere financiación por $200.000.000 a un plazo de 15 años (180 cuotas mensuales). ¿Cuál es el valor de la cuota mensual uniforme bajo el sistema de amortización francés (cuota constante)?</t>
  </si>
  <si>
    <t>Calcula la cuota periódica constante de una anualidad ordinaria, compuesta por abono a capital e intereses. Corresponde al sistema de amortización francés (cuota fija), el más utilizado en créditos hipotecarios y de consumo.</t>
  </si>
  <si>
    <t>EJERCICIO 8  ●  Con base en los datos del crédito hipotecario del ejercicio anterior ($200.000.000, 0,9% M.V., 180 cuotas mensuales), desglose la cuota N° 104: ¿qué proporción corresponde al pago de intereses y qué proporción a la amortización del capital principal?</t>
  </si>
  <si>
    <t>EJERCICIO 9  ●  Con base en los datos del crédito hipotecario anterior ($200.000.000, 0,9% M.V., 180 cuotas mensuales), calcule el total acumulado de intereses pagados y el total de capital amortizado durante los primeros 8 años del crédito (cuotas 1 a 96).</t>
  </si>
  <si>
    <t>EJERCICIO 10  ●  Una empresa contrata un crédito por $100.000.000 a una tasa del 1% mensual con un plazo de 5 años (60 cuotas). El sistema de amortización pactado es el alemán (amortización constante de capital: PV/NPER). ¿Cuál es el valor de los intereses correspondientes a la cuota N° 5?</t>
  </si>
  <si>
    <t>Calcula los intereses de una cuota específica bajo el sistema de amortización alemán, en el que se amortiza una cuota de capital constante (PV/NPER) cada período. A diferencia de PAGOINT, no asume cuota total constante sino cuota de capital fija.</t>
  </si>
  <si>
    <t>EJERCICIO 11  ●  Un inversionista realiza una colocación inicial de $100.000.000 en un portafolio de renta variable. El gestor proyecta las siguientes tasas de retorno anuales: 5% en el año 1, 10% en el año 2, 15% en el año 3, 20% en el año 4 y 25% en el año 5. ¿Cuál será el valor acumulado del portafolio al término del año 5?</t>
  </si>
  <si>
    <t>Calcula el Valor Futuro de un capital inicial al que se aplican tasas de interés compuesto variables en cada período. Especialmente útil para modelar portafolios con retornos no uniformes o construir análisis de escenarios de inversión.</t>
  </si>
  <si>
    <t>Calcula la porción de intereses contenida en una cuota específica de un crédito de cuota constante (sistema francés).
Calcula la porción de capital amortizado en una cuota específica de un crédito de cuota constante (sistema francés).</t>
  </si>
  <si>
    <t>Calcula el total acumulado de intereses pagados entre dos cuotas delimitadas de un crédito de cuota constante (sistema francés).
Calcula el total acumulado de capital amortizado entre dos cuotas delimitadas de un crédito de cuota constante (sistema francés).</t>
  </si>
  <si>
    <t>Análisis de Hipótesis: Buscar Objetivo, Administración de Escenarios y Tabla de Datos</t>
  </si>
  <si>
    <t>1. Usar los datos para crear un estado de resultados y estimar la cantidad de venta de equilibrio operativo y financiero.</t>
  </si>
  <si>
    <t>2. Usar la herramienta tabla de datos para hacer analisis de sensiblidad con el precio, cantidad y costo fijo.</t>
  </si>
  <si>
    <t>3. Usar la herramienta administración de escenarios para generar tres escenario, esperado (el actual), el positivo y el negativo.</t>
  </si>
  <si>
    <t>Datos de Base</t>
  </si>
  <si>
    <t>Simulación con la Cantidad</t>
  </si>
  <si>
    <t>Simulación con el Precio</t>
  </si>
  <si>
    <t>Simulación con el costo fijo</t>
  </si>
  <si>
    <t>Costo Unitario de Venta</t>
  </si>
  <si>
    <t>Cantidad Vendida</t>
  </si>
  <si>
    <t>mensual</t>
  </si>
  <si>
    <t>Gastos fijo Adm y Venta</t>
  </si>
  <si>
    <t>de la Venta</t>
  </si>
  <si>
    <t>Gasto Financiero</t>
  </si>
  <si>
    <t>Estado de Resultados</t>
  </si>
  <si>
    <t>Ingresos por venta</t>
  </si>
  <si>
    <t>Costo de Venta Total</t>
  </si>
  <si>
    <t>Ganancia Bruta</t>
  </si>
  <si>
    <t>Gastos Fijos Operativos</t>
  </si>
  <si>
    <t>Gastos Variables de Venta</t>
  </si>
  <si>
    <t>Ganancia operativa=UAII</t>
  </si>
  <si>
    <t>Gastos Financieros</t>
  </si>
  <si>
    <t>UAI</t>
  </si>
  <si>
    <t>Impuestos</t>
  </si>
  <si>
    <t>Utilidad Neta</t>
  </si>
  <si>
    <t>Punto de Equilibrio Neto</t>
  </si>
  <si>
    <t>Punto de Equilibrio Operativo</t>
  </si>
  <si>
    <t>Venta para ganancia de 5mm</t>
  </si>
  <si>
    <t>Margen Operativo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</si>
</sst>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 #,##0;[Red]\-&quot;$&quot;\ #,##0"/>
    <numFmt numFmtId="8" formatCode="&quot;$&quot;\ #,##0.00;[Red]\-&quot;$&quot;\ #,##0.00"/>
    <numFmt numFmtId="41" formatCode="_-* #,##0_-;\-* #,##0_-;_-* &quot;-&quot;_-;_-@_-"/>
    <numFmt numFmtId="43" formatCode="_-* #,##0.00_-;\-* #,##0.00_-;_-* &quot;-&quot;??_-;_-@_-"/>
    <numFmt numFmtId="164" formatCode="0.000%"/>
    <numFmt numFmtId="165" formatCode="0.0000%"/>
    <numFmt numFmtId="166" formatCode="&quot;$&quot;\ #,##0_);[Red]\(&quot;$&quot;\ #,##0\)"/>
    <numFmt numFmtId="167" formatCode="&quot;$&quot;\ #,##0"/>
    <numFmt numFmtId="168" formatCode="_(* #,##0_);_(* \(#,##0\);_(* &quot;-&quot;??_);_(@_)"/>
    <numFmt numFmtId="169" formatCode="#,##0\ &quot;Año&quot;"/>
    <numFmt numFmtId="170" formatCode="_(* #,##0.00_);_(* \(#,##0.00\);_(* &quot;-&quot;??_);_(@_)"/>
    <numFmt numFmtId="171" formatCode="_-* #,##0.0_-;\-* #,##0.0_-;_-* &quot;-&quot;?_-;_-@_-"/>
    <numFmt numFmtId="172" formatCode="_-* #,##0_-;\-* #,##0_-;_-* &quot;-&quot;??_-;_-@_-"/>
    <numFmt numFmtId="173" formatCode="_-* #,##0.0_-;\-* #,##0.0_-;_-* &quot;-&quot;??_-;_-@_-"/>
  </numFmts>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1"/>
      <color theme="0"/>
      <name val="Tw Cen MT"/>
      <family val="2"/>
      <scheme val="minor"/>
    </font>
    <font>
      <b/>
      <sz val="11"/>
      <color theme="1"/>
      <name val="Tw Cen MT"/>
      <family val="2"/>
      <scheme val="minor"/>
    </font>
    <font>
      <sz val="11"/>
      <color theme="0"/>
      <name val="Tw Cen MT"/>
      <family val="2"/>
      <scheme val="minor"/>
    </font>
    <font>
      <sz val="26"/>
      <color theme="0"/>
      <name val="Tw Cen MT Condensed"/>
      <family val="2"/>
      <scheme val="major"/>
    </font>
    <font>
      <sz val="24"/>
      <color theme="0"/>
      <name val="Tw Cen MT Condensed"/>
      <family val="2"/>
      <scheme val="major"/>
    </font>
    <font>
      <sz val="10"/>
      <color theme="1"/>
      <name val="Tw Cen MT"/>
      <family val="2"/>
      <scheme val="minor"/>
    </font>
    <font>
      <i/>
      <sz val="10"/>
      <color theme="1"/>
      <name val="Tw Cen MT"/>
      <family val="2"/>
      <scheme val="minor"/>
    </font>
    <font>
      <i/>
      <sz val="11"/>
      <color theme="1"/>
      <name val="Tw Cen MT"/>
      <family val="2"/>
      <scheme val="minor"/>
    </font>
    <font>
      <sz val="14"/>
      <color theme="0"/>
      <name val="Tw Cen MT Condensed"/>
      <family val="2"/>
      <scheme val="major"/>
    </font>
    <font>
      <sz val="9"/>
      <color theme="1"/>
      <name val="Tw Cen MT"/>
      <family val="2"/>
      <scheme val="minor"/>
    </font>
    <font>
      <sz val="18"/>
      <color theme="0"/>
      <name val="Tw Cen MT Condensed"/>
      <family val="2"/>
      <scheme val="major"/>
    </font>
    <font>
      <sz val="8"/>
      <name val="Tw Cen MT"/>
      <family val="2"/>
      <scheme val="minor"/>
    </font>
    <font>
      <i/>
      <sz val="10"/>
      <color rgb="FF1F4E79"/>
      <name val="Tw Cen MT Condensed"/>
      <family val="2"/>
      <scheme val="major"/>
    </font>
    <font>
      <sz val="16"/>
      <color theme="0"/>
      <name val="Tw Cen MT Condensed"/>
      <family val="2"/>
      <scheme val="major"/>
    </font>
  </fonts>
  <fills count="16">
    <fill>
      <patternFill patternType="none"/>
    </fill>
    <fill>
      <patternFill patternType="gray125"/>
    </fill>
    <fill>
      <patternFill patternType="solid">
        <fgColor theme="1" tint="0.14999847407452621"/>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4" tint="0.79998168889431442"/>
        <bgColor indexed="65"/>
      </patternFill>
    </fill>
    <fill>
      <patternFill patternType="solid">
        <fgColor theme="4"/>
      </patternFill>
    </fill>
    <fill>
      <patternFill patternType="solid">
        <fgColor theme="5"/>
      </patternFill>
    </fill>
    <fill>
      <patternFill patternType="solid">
        <fgColor theme="4" tint="0.79998168889431442"/>
        <bgColor indexed="64"/>
      </patternFill>
    </fill>
    <fill>
      <patternFill patternType="solid">
        <fgColor rgb="FFFFFFCC"/>
      </patternFill>
    </fill>
    <fill>
      <patternFill patternType="solid">
        <fgColor rgb="FFFFC000"/>
        <bgColor indexed="64"/>
      </patternFill>
    </fill>
    <fill>
      <patternFill patternType="solid">
        <fgColor rgb="FFE2EFF9"/>
        <bgColor indexed="64"/>
      </patternFill>
    </fill>
    <fill>
      <patternFill patternType="solid">
        <fgColor theme="6"/>
      </patternFill>
    </fill>
    <fill>
      <patternFill patternType="solid">
        <fgColor theme="1" tint="4.9989318521683403E-2"/>
        <bgColor indexed="64"/>
      </patternFill>
    </fill>
    <fill>
      <patternFill patternType="solid">
        <fgColor theme="1" tint="0.499984740745262"/>
        <bgColor indexed="64"/>
      </patternFill>
    </fill>
    <fill>
      <patternFill patternType="solid">
        <fgColor theme="1" tint="0.34998626667073579"/>
        <bgColor indexed="64"/>
      </patternFill>
    </fill>
  </fills>
  <borders count="11">
    <border>
      <left/>
      <right/>
      <top/>
      <bottom/>
      <diagonal/>
    </border>
    <border>
      <left/>
      <right/>
      <top/>
      <bottom style="thick">
        <color theme="4"/>
      </bottom>
      <diagonal/>
    </border>
    <border>
      <left/>
      <right/>
      <top/>
      <bottom style="thin">
        <color indexed="64"/>
      </bottom>
      <diagonal/>
    </border>
    <border>
      <left style="medium">
        <color indexed="64"/>
      </left>
      <right/>
      <top/>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rgb="FFB2B2B2"/>
      </top>
      <bottom/>
      <diagonal/>
    </border>
    <border>
      <left style="thick">
        <color rgb="FF2683C6"/>
      </left>
      <right/>
      <top/>
      <bottom/>
      <diagonal/>
    </border>
    <border>
      <left style="thick">
        <color rgb="FF2683C6"/>
      </left>
      <right/>
      <top style="thin">
        <color rgb="FFB2B2B2"/>
      </top>
      <bottom/>
      <diagonal/>
    </border>
    <border>
      <left/>
      <right/>
      <top/>
      <bottom style="thin">
        <color rgb="FF9DC3E6"/>
      </bottom>
      <diagonal/>
    </border>
    <border>
      <left style="medium">
        <color indexed="64"/>
      </left>
      <right/>
      <top style="medium">
        <color indexed="64"/>
      </top>
      <bottom style="medium">
        <color indexed="64"/>
      </bottom>
      <diagonal/>
    </border>
    <border>
      <left style="thin">
        <color rgb="FFB2B2B2"/>
      </left>
      <right style="medium">
        <color indexed="64"/>
      </right>
      <top style="medium">
        <color indexed="64"/>
      </top>
      <bottom style="medium">
        <color indexed="64"/>
      </bottom>
      <diagonal/>
    </border>
  </borders>
  <cellStyleXfs count="11">
    <xf numFmtId="0" fontId="0" fillId="0" borderId="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1"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1" fillId="9" borderId="4" applyNumberFormat="0" applyFont="0" applyAlignment="0" applyProtection="0"/>
    <xf numFmtId="0" fontId="6" fillId="12" borderId="0" applyNumberFormat="0" applyBorder="0" applyAlignment="0" applyProtection="0"/>
  </cellStyleXfs>
  <cellXfs count="98">
    <xf numFmtId="0" fontId="0" fillId="0" borderId="0" xfId="0"/>
    <xf numFmtId="9" fontId="0" fillId="0" borderId="0" xfId="0" applyNumberFormat="1"/>
    <xf numFmtId="10" fontId="0" fillId="0" borderId="0" xfId="3" applyNumberFormat="1" applyFont="1"/>
    <xf numFmtId="0" fontId="4" fillId="2" borderId="2" xfId="0" applyFont="1" applyFill="1" applyBorder="1" applyAlignment="1">
      <alignment horizontal="center" vertical="center" wrapText="1"/>
    </xf>
    <xf numFmtId="10" fontId="0" fillId="0" borderId="0" xfId="3" applyNumberFormat="1" applyFont="1" applyFill="1" applyAlignment="1">
      <alignment horizontal="right" vertical="center" wrapText="1"/>
    </xf>
    <xf numFmtId="0" fontId="0" fillId="4" borderId="0" xfId="0" applyFill="1" applyAlignment="1">
      <alignment horizontal="left" vertical="top" wrapText="1"/>
    </xf>
    <xf numFmtId="0" fontId="0" fillId="0" borderId="0" xfId="0" applyAlignment="1">
      <alignment horizontal="right" vertical="center" wrapText="1"/>
    </xf>
    <xf numFmtId="166" fontId="0" fillId="0" borderId="0" xfId="0" applyNumberFormat="1" applyAlignment="1">
      <alignment horizontal="right" vertical="center" wrapText="1"/>
    </xf>
    <xf numFmtId="167" fontId="0" fillId="0" borderId="0" xfId="0" applyNumberFormat="1" applyAlignment="1">
      <alignment horizontal="right" vertical="center" wrapText="1"/>
    </xf>
    <xf numFmtId="41" fontId="0" fillId="0" borderId="0" xfId="2" applyFont="1" applyFill="1" applyAlignment="1">
      <alignment horizontal="right" vertical="center" wrapText="1"/>
    </xf>
    <xf numFmtId="165" fontId="0" fillId="0" borderId="0" xfId="0" applyNumberFormat="1" applyAlignment="1">
      <alignment horizontal="right" vertical="center" wrapText="1"/>
    </xf>
    <xf numFmtId="10" fontId="0" fillId="0" borderId="0" xfId="0" applyNumberFormat="1" applyAlignment="1">
      <alignment horizontal="right" vertical="center" wrapText="1"/>
    </xf>
    <xf numFmtId="168" fontId="0" fillId="0" borderId="0" xfId="1" applyNumberFormat="1" applyFont="1" applyFill="1" applyAlignment="1">
      <alignment horizontal="right" vertical="center" wrapText="1"/>
    </xf>
    <xf numFmtId="0" fontId="0" fillId="0" borderId="0" xfId="1" applyNumberFormat="1" applyFont="1" applyFill="1" applyAlignment="1">
      <alignment horizontal="right" vertical="center" wrapText="1"/>
    </xf>
    <xf numFmtId="167" fontId="0" fillId="0" borderId="0" xfId="0" applyNumberFormat="1"/>
    <xf numFmtId="0" fontId="0" fillId="3" borderId="0" xfId="0" applyFill="1"/>
    <xf numFmtId="169" fontId="6" fillId="2" borderId="0" xfId="0" applyNumberFormat="1" applyFont="1" applyFill="1"/>
    <xf numFmtId="168" fontId="0" fillId="0" borderId="0" xfId="1" applyNumberFormat="1" applyFont="1"/>
    <xf numFmtId="168" fontId="0" fillId="0" borderId="0" xfId="0" applyNumberFormat="1"/>
    <xf numFmtId="14" fontId="6" fillId="2" borderId="0" xfId="0" applyNumberFormat="1" applyFont="1" applyFill="1"/>
    <xf numFmtId="0" fontId="7" fillId="2" borderId="2" xfId="0" applyFont="1" applyFill="1" applyBorder="1" applyAlignment="1">
      <alignment horizontal="left" vertical="center"/>
    </xf>
    <xf numFmtId="0" fontId="0" fillId="0" borderId="0" xfId="0" applyAlignment="1">
      <alignment vertical="center"/>
    </xf>
    <xf numFmtId="0" fontId="0" fillId="0" borderId="0" xfId="0" applyAlignment="1">
      <alignment horizontal="right"/>
    </xf>
    <xf numFmtId="0" fontId="4" fillId="2" borderId="2" xfId="0" applyFont="1" applyFill="1" applyBorder="1" applyAlignment="1">
      <alignment horizontal="left" vertical="center" wrapText="1"/>
    </xf>
    <xf numFmtId="41" fontId="0" fillId="0" borderId="0" xfId="2" applyFont="1"/>
    <xf numFmtId="164" fontId="0" fillId="0" borderId="0" xfId="0" applyNumberFormat="1"/>
    <xf numFmtId="168" fontId="6" fillId="2" borderId="0" xfId="0" applyNumberFormat="1" applyFont="1" applyFill="1"/>
    <xf numFmtId="0" fontId="5" fillId="5" borderId="0" xfId="6" applyFont="1" applyAlignment="1">
      <alignment horizontal="right"/>
    </xf>
    <xf numFmtId="167" fontId="0" fillId="0" borderId="0" xfId="2" applyNumberFormat="1" applyFont="1" applyFill="1" applyAlignment="1">
      <alignment horizontal="right" vertical="center" wrapText="1"/>
    </xf>
    <xf numFmtId="0" fontId="0" fillId="0" borderId="0" xfId="0" applyAlignment="1">
      <alignment wrapText="1"/>
    </xf>
    <xf numFmtId="167" fontId="0" fillId="0" borderId="0" xfId="1" applyNumberFormat="1" applyFont="1" applyFill="1" applyAlignment="1">
      <alignment horizontal="right" vertical="center" wrapText="1"/>
    </xf>
    <xf numFmtId="165" fontId="0" fillId="0" borderId="0" xfId="3" applyNumberFormat="1" applyFont="1" applyFill="1" applyAlignment="1">
      <alignment horizontal="right" vertical="center" wrapText="1"/>
    </xf>
    <xf numFmtId="8" fontId="0" fillId="0" borderId="0" xfId="0" applyNumberFormat="1"/>
    <xf numFmtId="167" fontId="0" fillId="0" borderId="0" xfId="2" applyNumberFormat="1" applyFont="1"/>
    <xf numFmtId="0" fontId="0" fillId="9" borderId="4" xfId="9" applyFont="1"/>
    <xf numFmtId="10" fontId="0" fillId="9" borderId="4" xfId="9" applyNumberFormat="1" applyFont="1"/>
    <xf numFmtId="0" fontId="6" fillId="7" borderId="0" xfId="8" applyAlignment="1"/>
    <xf numFmtId="165" fontId="0" fillId="0" borderId="0" xfId="0" applyNumberFormat="1"/>
    <xf numFmtId="171" fontId="0" fillId="0" borderId="0" xfId="0" applyNumberFormat="1"/>
    <xf numFmtId="167" fontId="0" fillId="9" borderId="4" xfId="9" applyNumberFormat="1" applyFont="1"/>
    <xf numFmtId="168" fontId="1" fillId="9" borderId="4" xfId="9" applyNumberFormat="1" applyFont="1" applyAlignment="1">
      <alignment horizontal="right" vertical="center" wrapText="1"/>
    </xf>
    <xf numFmtId="167" fontId="1" fillId="9" borderId="4" xfId="9" applyNumberFormat="1" applyFont="1" applyAlignment="1">
      <alignment horizontal="right" vertical="center" wrapText="1"/>
    </xf>
    <xf numFmtId="168" fontId="0" fillId="9" borderId="4" xfId="9" applyNumberFormat="1" applyFont="1" applyAlignment="1">
      <alignment horizontal="right" vertical="center" wrapText="1"/>
    </xf>
    <xf numFmtId="170" fontId="1" fillId="9" borderId="4" xfId="9" applyNumberFormat="1" applyFont="1" applyAlignment="1">
      <alignment horizontal="right" vertical="center" wrapText="1"/>
    </xf>
    <xf numFmtId="10" fontId="1" fillId="9" borderId="4" xfId="9" applyNumberFormat="1" applyFont="1" applyAlignment="1">
      <alignment horizontal="right" vertical="center" wrapText="1"/>
    </xf>
    <xf numFmtId="6" fontId="1" fillId="9" borderId="4" xfId="9" applyNumberFormat="1" applyFont="1" applyAlignment="1">
      <alignment horizontal="right" vertical="center" wrapText="1"/>
    </xf>
    <xf numFmtId="168" fontId="0" fillId="9" borderId="4" xfId="9" applyNumberFormat="1" applyFont="1"/>
    <xf numFmtId="6" fontId="0" fillId="0" borderId="0" xfId="0" applyNumberFormat="1"/>
    <xf numFmtId="10" fontId="1" fillId="9" borderId="5" xfId="9" applyNumberFormat="1" applyFont="1" applyBorder="1" applyAlignment="1">
      <alignment horizontal="right" vertical="center" wrapText="1"/>
    </xf>
    <xf numFmtId="170" fontId="1" fillId="9" borderId="5" xfId="9" applyNumberFormat="1" applyFont="1" applyBorder="1" applyAlignment="1">
      <alignment horizontal="right" vertical="center" wrapText="1"/>
    </xf>
    <xf numFmtId="168" fontId="1" fillId="9" borderId="5" xfId="9" applyNumberFormat="1" applyFont="1" applyBorder="1" applyAlignment="1">
      <alignment horizontal="right" vertical="center" wrapText="1"/>
    </xf>
    <xf numFmtId="0" fontId="9" fillId="3" borderId="0" xfId="0" applyFont="1" applyFill="1" applyAlignment="1">
      <alignment vertical="center"/>
    </xf>
    <xf numFmtId="0" fontId="9" fillId="3" borderId="0" xfId="0" applyFont="1" applyFill="1" applyAlignment="1">
      <alignment vertical="center" wrapText="1"/>
    </xf>
    <xf numFmtId="0" fontId="11" fillId="3" borderId="0" xfId="0" applyFont="1" applyFill="1" applyAlignment="1">
      <alignment horizontal="right"/>
    </xf>
    <xf numFmtId="172" fontId="0" fillId="0" borderId="0" xfId="1" applyNumberFormat="1" applyFont="1"/>
    <xf numFmtId="0" fontId="5" fillId="0" borderId="0" xfId="0" applyFont="1"/>
    <xf numFmtId="41" fontId="5" fillId="0" borderId="0" xfId="0" applyNumberFormat="1" applyFont="1"/>
    <xf numFmtId="41" fontId="0" fillId="0" borderId="0" xfId="3" applyNumberFormat="1" applyFont="1"/>
    <xf numFmtId="167" fontId="0" fillId="0" borderId="0" xfId="2" applyNumberFormat="1" applyFont="1" applyFill="1" applyBorder="1"/>
    <xf numFmtId="41" fontId="0" fillId="0" borderId="0" xfId="2" applyFont="1" applyFill="1" applyBorder="1"/>
    <xf numFmtId="41" fontId="0" fillId="10" borderId="0" xfId="2" applyFont="1" applyFill="1"/>
    <xf numFmtId="167" fontId="1" fillId="0" borderId="0" xfId="2" applyNumberFormat="1" applyFont="1" applyFill="1" applyBorder="1"/>
    <xf numFmtId="41" fontId="0" fillId="9" borderId="4" xfId="9" applyNumberFormat="1" applyFont="1"/>
    <xf numFmtId="167" fontId="0" fillId="0" borderId="0" xfId="2" applyNumberFormat="1" applyFont="1" applyFill="1"/>
    <xf numFmtId="9" fontId="0" fillId="0" borderId="0" xfId="3" applyFont="1" applyFill="1"/>
    <xf numFmtId="9" fontId="0" fillId="0" borderId="0" xfId="3" applyFont="1" applyFill="1" applyBorder="1"/>
    <xf numFmtId="173" fontId="0" fillId="0" borderId="0" xfId="1" applyNumberFormat="1" applyFont="1" applyFill="1"/>
    <xf numFmtId="41" fontId="1" fillId="9" borderId="5" xfId="9" applyNumberFormat="1" applyFont="1" applyBorder="1"/>
    <xf numFmtId="0" fontId="4" fillId="7" borderId="9" xfId="8" applyFont="1" applyBorder="1" applyAlignment="1">
      <alignment horizontal="right"/>
    </xf>
    <xf numFmtId="41" fontId="5" fillId="9" borderId="10" xfId="9" applyNumberFormat="1" applyFont="1" applyBorder="1"/>
    <xf numFmtId="9" fontId="0" fillId="0" borderId="0" xfId="3" applyFont="1"/>
    <xf numFmtId="0" fontId="9" fillId="0" borderId="0" xfId="0" applyFont="1" applyAlignment="1">
      <alignment horizontal="right"/>
    </xf>
    <xf numFmtId="0" fontId="6" fillId="6" borderId="0" xfId="7" applyBorder="1" applyAlignment="1">
      <alignment horizontal="right"/>
    </xf>
    <xf numFmtId="0" fontId="6" fillId="7" borderId="0" xfId="8" applyBorder="1" applyAlignment="1">
      <alignment horizontal="right"/>
    </xf>
    <xf numFmtId="41" fontId="0" fillId="0" borderId="0" xfId="0" applyNumberFormat="1"/>
    <xf numFmtId="0" fontId="9" fillId="3" borderId="7" xfId="0" applyFont="1" applyFill="1" applyBorder="1" applyAlignment="1">
      <alignment horizontal="left" vertical="top" wrapText="1"/>
    </xf>
    <xf numFmtId="0" fontId="9" fillId="3" borderId="0" xfId="0" applyFont="1" applyFill="1" applyAlignment="1">
      <alignment horizontal="left" vertical="top" wrapText="1"/>
    </xf>
    <xf numFmtId="0" fontId="16" fillId="11" borderId="8" xfId="4" applyFont="1" applyFill="1" applyBorder="1" applyAlignment="1">
      <alignment horizontal="left" vertical="center" wrapText="1"/>
    </xf>
    <xf numFmtId="0" fontId="16" fillId="11" borderId="0" xfId="4" applyFont="1" applyFill="1" applyBorder="1" applyAlignment="1">
      <alignment horizontal="left" vertical="top" wrapText="1"/>
    </xf>
    <xf numFmtId="0" fontId="16" fillId="11" borderId="0" xfId="4" applyFont="1" applyFill="1" applyBorder="1" applyAlignment="1">
      <alignment horizontal="left" vertical="center"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9" fillId="3" borderId="6" xfId="0" applyFont="1" applyFill="1" applyBorder="1" applyAlignment="1">
      <alignment horizontal="left" vertical="top" wrapText="1"/>
    </xf>
    <xf numFmtId="0" fontId="16" fillId="11" borderId="8" xfId="4" applyFont="1" applyFill="1" applyBorder="1" applyAlignment="1">
      <alignment horizontal="left" vertical="top" wrapText="1"/>
    </xf>
    <xf numFmtId="0" fontId="12" fillId="2" borderId="0" xfId="0" applyFont="1" applyFill="1" applyAlignment="1">
      <alignment horizontal="center" vertical="center"/>
    </xf>
    <xf numFmtId="0" fontId="10" fillId="8" borderId="0" xfId="0" applyFont="1" applyFill="1" applyAlignment="1">
      <alignment horizontal="left" vertical="top" wrapText="1"/>
    </xf>
    <xf numFmtId="0" fontId="6" fillId="7" borderId="0" xfId="8" applyAlignment="1">
      <alignment horizontal="center"/>
    </xf>
    <xf numFmtId="0" fontId="8" fillId="2" borderId="3" xfId="4" applyFont="1" applyFill="1" applyBorder="1" applyAlignment="1">
      <alignment horizontal="center" vertical="top" wrapText="1"/>
    </xf>
    <xf numFmtId="0" fontId="8" fillId="2" borderId="0" xfId="4" applyFont="1" applyFill="1" applyBorder="1" applyAlignment="1">
      <alignment horizontal="center" vertical="top" wrapText="1"/>
    </xf>
    <xf numFmtId="0" fontId="3" fillId="0" borderId="1" xfId="5" applyAlignment="1">
      <alignment horizontal="center"/>
    </xf>
    <xf numFmtId="0" fontId="14" fillId="2" borderId="2" xfId="0" applyFont="1" applyFill="1" applyBorder="1" applyAlignment="1">
      <alignment horizontal="left" vertical="center"/>
    </xf>
    <xf numFmtId="0" fontId="13" fillId="3" borderId="0" xfId="0" applyFont="1" applyFill="1" applyAlignment="1">
      <alignment horizontal="left" vertical="top" wrapText="1"/>
    </xf>
    <xf numFmtId="0" fontId="17" fillId="13" borderId="0" xfId="0" applyFont="1" applyFill="1" applyAlignment="1">
      <alignment horizontal="left" vertical="center" wrapText="1"/>
    </xf>
    <xf numFmtId="0" fontId="6" fillId="7" borderId="2" xfId="8" applyBorder="1" applyAlignment="1">
      <alignment horizontal="center"/>
    </xf>
    <xf numFmtId="0" fontId="6" fillId="14" borderId="0" xfId="10" applyFill="1" applyAlignment="1">
      <alignment horizontal="center"/>
    </xf>
    <xf numFmtId="0" fontId="6" fillId="15" borderId="0" xfId="8" applyFill="1" applyAlignment="1">
      <alignment horizontal="center"/>
    </xf>
    <xf numFmtId="0" fontId="6" fillId="2" borderId="0" xfId="7" applyFill="1" applyAlignment="1">
      <alignment horizontal="center"/>
    </xf>
    <xf numFmtId="8" fontId="0" fillId="0" borderId="0" xfId="1" applyNumberFormat="1" applyFont="1" applyFill="1" applyAlignment="1">
      <alignment horizontal="right" vertical="center" wrapText="1"/>
    </xf>
  </cellXfs>
  <cellStyles count="11">
    <cellStyle name="20% - Énfasis1" xfId="6" builtinId="30"/>
    <cellStyle name="Encabezado 1" xfId="5" builtinId="16"/>
    <cellStyle name="Énfasis1" xfId="7" builtinId="29"/>
    <cellStyle name="Énfasis2" xfId="8" builtinId="33"/>
    <cellStyle name="Énfasis3" xfId="10" builtinId="37"/>
    <cellStyle name="Millares" xfId="1" builtinId="3"/>
    <cellStyle name="Millares [0]" xfId="2" builtinId="6"/>
    <cellStyle name="Normal" xfId="0" builtinId="0"/>
    <cellStyle name="Notas" xfId="9" builtinId="10"/>
    <cellStyle name="Porcentaje" xfId="3" builtinId="5"/>
    <cellStyle name="Título" xfId="4" builtinId="15"/>
  </cellStyles>
  <dxfs count="1">
    <dxf>
      <alignment horizontal="general" vertical="bottom" textRotation="0" wrapText="1" indent="0" justifyLastLine="0" shrinkToFit="0" readingOrder="0"/>
    </dxf>
  </dxfs>
  <tableStyles count="1" defaultTableStyle="TableStyleMedium2" defaultPivotStyle="PivotStyleLight16">
    <tableStyle name="Invisible" pivot="0" table="0" count="0" xr9:uid="{85954C11-5049-4530-9146-A96DB432E3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3:D58" totalsRowShown="0">
  <autoFilter ref="B3:D58" xr:uid="{00000000-0009-0000-0100-000001000000}">
    <filterColumn colId="0">
      <filters>
        <filter val="VDT"/>
      </filters>
    </filterColumn>
  </autoFilter>
  <sortState xmlns:xlrd2="http://schemas.microsoft.com/office/spreadsheetml/2017/richdata2" ref="B4:D23">
    <sortCondition ref="C3:C58"/>
  </sortState>
  <tableColumns count="3">
    <tableColumn id="1" xr3:uid="{00000000-0010-0000-0000-000001000000}" name="Categoría"/>
    <tableColumn id="4" xr3:uid="{00000000-0010-0000-0000-000004000000}" name="Fórmulas"/>
    <tableColumn id="3" xr3:uid="{00000000-0010-0000-0000-000003000000}" name="Descripción" dataDxfId="0"/>
  </tableColumns>
  <tableStyleInfo name="TableStyleMedium16"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273C5F-8540-4693-80A6-DF1D5425094A}">
  <we:reference id="WA200009404" version="1.0.0.8" store="Omex" storeType="OMEX"/>
  <we:alternateReferences>
    <we:reference id="WA200009404" version="1.0.0.8" store="WA200009404" storeType="OMEX"/>
  </we:alternateReferences>
  <we:properties>
    <we:property name="claude.fileId" value="&quot;5f7ad95b-b5ed-4792-8418-ecd5afbf645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8"/>
  <sheetViews>
    <sheetView showGridLines="0" zoomScale="175" zoomScaleNormal="175" workbookViewId="0">
      <pane xSplit="2" ySplit="3" topLeftCell="C17" activePane="bottomRight" state="frozen"/>
      <selection pane="topRight" activeCell="C1" sqref="C1"/>
      <selection pane="bottomLeft" activeCell="A4" sqref="A4"/>
      <selection pane="bottomRight" activeCell="D20" sqref="D20"/>
    </sheetView>
  </sheetViews>
  <sheetFormatPr baseColWidth="10" defaultRowHeight="13.8" x14ac:dyDescent="0.25"/>
  <cols>
    <col min="1" max="1" width="2.296875" customWidth="1"/>
    <col min="2" max="2" width="10.5" customWidth="1"/>
    <col min="3" max="3" width="22.19921875" customWidth="1"/>
    <col min="4" max="4" width="54.5" customWidth="1"/>
    <col min="9" max="9" width="16.5" customWidth="1"/>
  </cols>
  <sheetData>
    <row r="1" spans="1:6" ht="30.75" customHeight="1" x14ac:dyDescent="0.25">
      <c r="A1" s="87" t="s">
        <v>94</v>
      </c>
      <c r="B1" s="88"/>
      <c r="C1" s="88"/>
      <c r="D1" s="88"/>
    </row>
    <row r="2" spans="1:6" ht="10.199999999999999" customHeight="1" x14ac:dyDescent="0.25"/>
    <row r="3" spans="1:6" x14ac:dyDescent="0.25">
      <c r="B3" t="s">
        <v>63</v>
      </c>
      <c r="C3" t="s">
        <v>143</v>
      </c>
      <c r="D3" t="s">
        <v>0</v>
      </c>
    </row>
    <row r="4" spans="1:6" x14ac:dyDescent="0.25">
      <c r="B4" t="s">
        <v>92</v>
      </c>
      <c r="C4" t="s">
        <v>103</v>
      </c>
      <c r="D4" s="29" t="s">
        <v>3</v>
      </c>
      <c r="F4" s="21"/>
    </row>
    <row r="5" spans="1:6" ht="27.6" x14ac:dyDescent="0.25">
      <c r="B5" t="s">
        <v>92</v>
      </c>
      <c r="C5" t="s">
        <v>62</v>
      </c>
      <c r="D5" s="29" t="s">
        <v>61</v>
      </c>
      <c r="F5" s="21"/>
    </row>
    <row r="6" spans="1:6" x14ac:dyDescent="0.25">
      <c r="B6" t="s">
        <v>92</v>
      </c>
      <c r="C6" t="s">
        <v>31</v>
      </c>
      <c r="D6" s="29" t="s">
        <v>4</v>
      </c>
      <c r="F6" s="21"/>
    </row>
    <row r="7" spans="1:6" ht="27.6" x14ac:dyDescent="0.25">
      <c r="B7" t="s">
        <v>92</v>
      </c>
      <c r="C7" t="s">
        <v>107</v>
      </c>
      <c r="D7" s="29" t="s">
        <v>5</v>
      </c>
      <c r="F7" s="21"/>
    </row>
    <row r="8" spans="1:6" x14ac:dyDescent="0.25">
      <c r="B8" t="s">
        <v>92</v>
      </c>
      <c r="C8" t="s">
        <v>32</v>
      </c>
      <c r="D8" s="29" t="s">
        <v>6</v>
      </c>
      <c r="F8" s="21"/>
    </row>
    <row r="9" spans="1:6" x14ac:dyDescent="0.25">
      <c r="B9" t="s">
        <v>92</v>
      </c>
      <c r="C9" t="s">
        <v>39</v>
      </c>
      <c r="D9" s="29" t="s">
        <v>7</v>
      </c>
      <c r="F9" s="21"/>
    </row>
    <row r="10" spans="1:6" ht="27.6" x14ac:dyDescent="0.25">
      <c r="B10" t="s">
        <v>92</v>
      </c>
      <c r="C10" t="s">
        <v>41</v>
      </c>
      <c r="D10" s="29" t="s">
        <v>8</v>
      </c>
      <c r="F10" s="21"/>
    </row>
    <row r="11" spans="1:6" ht="27.6" x14ac:dyDescent="0.25">
      <c r="B11" t="s">
        <v>92</v>
      </c>
      <c r="C11" t="s">
        <v>36</v>
      </c>
      <c r="D11" s="29" t="s">
        <v>9</v>
      </c>
      <c r="F11" s="21"/>
    </row>
    <row r="12" spans="1:6" ht="27.6" x14ac:dyDescent="0.25">
      <c r="B12" t="s">
        <v>92</v>
      </c>
      <c r="C12" t="s">
        <v>38</v>
      </c>
      <c r="D12" s="29" t="s">
        <v>10</v>
      </c>
      <c r="F12" s="21"/>
    </row>
    <row r="13" spans="1:6" ht="27.6" x14ac:dyDescent="0.25">
      <c r="B13" t="s">
        <v>92</v>
      </c>
      <c r="C13" t="s">
        <v>106</v>
      </c>
      <c r="D13" s="29" t="s">
        <v>16</v>
      </c>
      <c r="F13" s="21"/>
    </row>
    <row r="14" spans="1:6" x14ac:dyDescent="0.25">
      <c r="B14" t="s">
        <v>92</v>
      </c>
      <c r="C14" t="s">
        <v>30</v>
      </c>
      <c r="D14" s="29" t="s">
        <v>17</v>
      </c>
      <c r="F14" s="21"/>
    </row>
    <row r="15" spans="1:6" x14ac:dyDescent="0.25">
      <c r="B15" t="s">
        <v>92</v>
      </c>
      <c r="C15" t="s">
        <v>105</v>
      </c>
      <c r="D15" s="29" t="s">
        <v>20</v>
      </c>
      <c r="F15" s="21"/>
    </row>
    <row r="16" spans="1:6" x14ac:dyDescent="0.25">
      <c r="B16" t="s">
        <v>92</v>
      </c>
      <c r="C16" t="s">
        <v>56</v>
      </c>
      <c r="D16" s="29" t="s">
        <v>21</v>
      </c>
      <c r="F16" s="21"/>
    </row>
    <row r="17" spans="2:6" ht="27.6" x14ac:dyDescent="0.25">
      <c r="B17" t="s">
        <v>92</v>
      </c>
      <c r="C17" t="s">
        <v>59</v>
      </c>
      <c r="D17" s="29" t="s">
        <v>22</v>
      </c>
      <c r="F17" s="21"/>
    </row>
    <row r="18" spans="2:6" ht="27.6" x14ac:dyDescent="0.25">
      <c r="B18" t="s">
        <v>92</v>
      </c>
      <c r="C18" t="s">
        <v>104</v>
      </c>
      <c r="D18" s="29" t="s">
        <v>23</v>
      </c>
      <c r="F18" s="21"/>
    </row>
    <row r="19" spans="2:6" x14ac:dyDescent="0.25">
      <c r="B19" t="s">
        <v>92</v>
      </c>
      <c r="C19" t="s">
        <v>34</v>
      </c>
      <c r="D19" s="29" t="s">
        <v>24</v>
      </c>
      <c r="F19" s="21"/>
    </row>
    <row r="20" spans="2:6" x14ac:dyDescent="0.25">
      <c r="B20" t="s">
        <v>92</v>
      </c>
      <c r="C20" t="s">
        <v>33</v>
      </c>
      <c r="D20" s="29" t="s">
        <v>25</v>
      </c>
      <c r="F20" s="21"/>
    </row>
    <row r="21" spans="2:6" ht="27.6" x14ac:dyDescent="0.25">
      <c r="B21" t="s">
        <v>92</v>
      </c>
      <c r="C21" t="s">
        <v>42</v>
      </c>
      <c r="D21" s="29" t="s">
        <v>26</v>
      </c>
      <c r="F21" s="21"/>
    </row>
    <row r="22" spans="2:6" ht="27.6" x14ac:dyDescent="0.25">
      <c r="B22" t="s">
        <v>92</v>
      </c>
      <c r="C22" t="s">
        <v>54</v>
      </c>
      <c r="D22" s="29" t="s">
        <v>27</v>
      </c>
      <c r="F22" s="21"/>
    </row>
    <row r="23" spans="2:6" ht="27.6" x14ac:dyDescent="0.25">
      <c r="B23" t="s">
        <v>92</v>
      </c>
      <c r="C23" t="s">
        <v>58</v>
      </c>
      <c r="D23" s="29" t="s">
        <v>28</v>
      </c>
      <c r="F23" s="21"/>
    </row>
    <row r="24" spans="2:6" ht="27.6" hidden="1" x14ac:dyDescent="0.25">
      <c r="B24" t="s">
        <v>90</v>
      </c>
      <c r="C24" t="s">
        <v>108</v>
      </c>
      <c r="D24" s="29" t="s">
        <v>89</v>
      </c>
      <c r="F24" s="21"/>
    </row>
    <row r="25" spans="2:6" ht="27.6" hidden="1" x14ac:dyDescent="0.25">
      <c r="B25" t="s">
        <v>90</v>
      </c>
      <c r="C25" t="s">
        <v>109</v>
      </c>
      <c r="D25" s="29" t="s">
        <v>91</v>
      </c>
      <c r="F25" s="21"/>
    </row>
    <row r="26" spans="2:6" ht="27.6" hidden="1" x14ac:dyDescent="0.25">
      <c r="B26" t="s">
        <v>82</v>
      </c>
      <c r="C26" t="s">
        <v>110</v>
      </c>
      <c r="D26" s="29" t="s">
        <v>81</v>
      </c>
      <c r="F26" s="21"/>
    </row>
    <row r="27" spans="2:6" hidden="1" x14ac:dyDescent="0.25">
      <c r="B27" t="s">
        <v>82</v>
      </c>
      <c r="C27" t="s">
        <v>111</v>
      </c>
      <c r="D27" s="29" t="s">
        <v>83</v>
      </c>
      <c r="F27" s="21"/>
    </row>
    <row r="28" spans="2:6" ht="27.6" hidden="1" x14ac:dyDescent="0.25">
      <c r="B28" t="s">
        <v>82</v>
      </c>
      <c r="C28" t="s">
        <v>112</v>
      </c>
      <c r="D28" s="29" t="s">
        <v>84</v>
      </c>
      <c r="F28" s="21"/>
    </row>
    <row r="29" spans="2:6" ht="41.4" hidden="1" x14ac:dyDescent="0.25">
      <c r="B29" t="s">
        <v>82</v>
      </c>
      <c r="C29" t="s">
        <v>113</v>
      </c>
      <c r="D29" s="29" t="s">
        <v>85</v>
      </c>
      <c r="F29" s="21"/>
    </row>
    <row r="30" spans="2:6" ht="27.6" hidden="1" x14ac:dyDescent="0.25">
      <c r="B30" t="s">
        <v>82</v>
      </c>
      <c r="C30" t="s">
        <v>114</v>
      </c>
      <c r="D30" s="29" t="s">
        <v>86</v>
      </c>
      <c r="F30" s="21"/>
    </row>
    <row r="31" spans="2:6" ht="27.6" hidden="1" x14ac:dyDescent="0.25">
      <c r="B31" t="s">
        <v>82</v>
      </c>
      <c r="C31" t="s">
        <v>115</v>
      </c>
      <c r="D31" s="29" t="s">
        <v>87</v>
      </c>
      <c r="F31" s="21"/>
    </row>
    <row r="32" spans="2:6" ht="27.6" hidden="1" x14ac:dyDescent="0.25">
      <c r="B32" t="s">
        <v>82</v>
      </c>
      <c r="C32" t="s">
        <v>116</v>
      </c>
      <c r="D32" s="29" t="s">
        <v>88</v>
      </c>
      <c r="F32" s="21"/>
    </row>
    <row r="33" spans="2:6" ht="27.6" hidden="1" x14ac:dyDescent="0.25">
      <c r="B33" t="s">
        <v>93</v>
      </c>
      <c r="C33" t="s">
        <v>117</v>
      </c>
      <c r="D33" s="29" t="s">
        <v>64</v>
      </c>
      <c r="F33" s="21"/>
    </row>
    <row r="34" spans="2:6" ht="27.6" hidden="1" x14ac:dyDescent="0.25">
      <c r="B34" t="s">
        <v>93</v>
      </c>
      <c r="C34" t="s">
        <v>118</v>
      </c>
      <c r="D34" s="29" t="s">
        <v>65</v>
      </c>
      <c r="F34" s="21"/>
    </row>
    <row r="35" spans="2:6" hidden="1" x14ac:dyDescent="0.25">
      <c r="B35" t="s">
        <v>93</v>
      </c>
      <c r="C35" t="s">
        <v>119</v>
      </c>
      <c r="D35" s="29" t="s">
        <v>18</v>
      </c>
      <c r="F35" s="21"/>
    </row>
    <row r="36" spans="2:6" ht="27.6" hidden="1" x14ac:dyDescent="0.25">
      <c r="B36" t="s">
        <v>93</v>
      </c>
      <c r="C36" t="s">
        <v>120</v>
      </c>
      <c r="D36" s="29" t="s">
        <v>1</v>
      </c>
      <c r="F36" s="21"/>
    </row>
    <row r="37" spans="2:6" hidden="1" x14ac:dyDescent="0.25">
      <c r="B37" t="s">
        <v>93</v>
      </c>
      <c r="C37" t="s">
        <v>121</v>
      </c>
      <c r="D37" s="29" t="s">
        <v>19</v>
      </c>
      <c r="F37" s="21"/>
    </row>
    <row r="38" spans="2:6" ht="27.6" hidden="1" x14ac:dyDescent="0.25">
      <c r="B38" t="s">
        <v>93</v>
      </c>
      <c r="C38" t="s">
        <v>122</v>
      </c>
      <c r="D38" s="29" t="s">
        <v>2</v>
      </c>
      <c r="F38" s="21"/>
    </row>
    <row r="39" spans="2:6" ht="27.6" hidden="1" x14ac:dyDescent="0.25">
      <c r="B39" t="s">
        <v>93</v>
      </c>
      <c r="C39" t="s">
        <v>123</v>
      </c>
      <c r="D39" s="29" t="s">
        <v>11</v>
      </c>
      <c r="F39" s="21"/>
    </row>
    <row r="40" spans="2:6" ht="27.6" hidden="1" x14ac:dyDescent="0.25">
      <c r="B40" t="s">
        <v>93</v>
      </c>
      <c r="C40" t="s">
        <v>124</v>
      </c>
      <c r="D40" s="29" t="s">
        <v>12</v>
      </c>
      <c r="F40" s="21"/>
    </row>
    <row r="41" spans="2:6" ht="27.6" hidden="1" x14ac:dyDescent="0.25">
      <c r="B41" t="s">
        <v>93</v>
      </c>
      <c r="C41" t="s">
        <v>125</v>
      </c>
      <c r="D41" s="29" t="s">
        <v>66</v>
      </c>
      <c r="F41" s="21"/>
    </row>
    <row r="42" spans="2:6" ht="27.6" hidden="1" x14ac:dyDescent="0.25">
      <c r="B42" t="s">
        <v>93</v>
      </c>
      <c r="C42" t="s">
        <v>126</v>
      </c>
      <c r="D42" s="29" t="s">
        <v>13</v>
      </c>
      <c r="F42" s="21"/>
    </row>
    <row r="43" spans="2:6" ht="27.6" hidden="1" x14ac:dyDescent="0.25">
      <c r="B43" t="s">
        <v>93</v>
      </c>
      <c r="C43" t="s">
        <v>127</v>
      </c>
      <c r="D43" s="29" t="s">
        <v>14</v>
      </c>
      <c r="F43" s="21"/>
    </row>
    <row r="44" spans="2:6" ht="27.6" hidden="1" x14ac:dyDescent="0.25">
      <c r="B44" t="s">
        <v>93</v>
      </c>
      <c r="C44" t="s">
        <v>128</v>
      </c>
      <c r="D44" s="29" t="s">
        <v>15</v>
      </c>
      <c r="F44" s="21"/>
    </row>
    <row r="45" spans="2:6" ht="27.6" hidden="1" x14ac:dyDescent="0.25">
      <c r="B45" t="s">
        <v>93</v>
      </c>
      <c r="C45" t="s">
        <v>129</v>
      </c>
      <c r="D45" s="29" t="s">
        <v>67</v>
      </c>
      <c r="F45" s="21"/>
    </row>
    <row r="46" spans="2:6" ht="27.6" hidden="1" x14ac:dyDescent="0.25">
      <c r="B46" t="s">
        <v>93</v>
      </c>
      <c r="C46" t="s">
        <v>130</v>
      </c>
      <c r="D46" s="29" t="s">
        <v>68</v>
      </c>
      <c r="F46" s="21"/>
    </row>
    <row r="47" spans="2:6" ht="27.6" hidden="1" x14ac:dyDescent="0.25">
      <c r="B47" t="s">
        <v>93</v>
      </c>
      <c r="C47" t="s">
        <v>131</v>
      </c>
      <c r="D47" s="29" t="s">
        <v>69</v>
      </c>
      <c r="F47" s="21"/>
    </row>
    <row r="48" spans="2:6" ht="27.6" hidden="1" x14ac:dyDescent="0.25">
      <c r="B48" t="s">
        <v>93</v>
      </c>
      <c r="C48" t="s">
        <v>132</v>
      </c>
      <c r="D48" s="29" t="s">
        <v>70</v>
      </c>
      <c r="F48" s="21"/>
    </row>
    <row r="49" spans="2:6" ht="27.6" hidden="1" x14ac:dyDescent="0.25">
      <c r="B49" t="s">
        <v>93</v>
      </c>
      <c r="C49" t="s">
        <v>133</v>
      </c>
      <c r="D49" s="29" t="s">
        <v>71</v>
      </c>
      <c r="F49" s="21"/>
    </row>
    <row r="50" spans="2:6" hidden="1" x14ac:dyDescent="0.25">
      <c r="B50" t="s">
        <v>93</v>
      </c>
      <c r="C50" t="s">
        <v>134</v>
      </c>
      <c r="D50" s="29" t="s">
        <v>72</v>
      </c>
      <c r="F50" s="21"/>
    </row>
    <row r="51" spans="2:6" ht="27.6" hidden="1" x14ac:dyDescent="0.25">
      <c r="B51" t="s">
        <v>93</v>
      </c>
      <c r="C51" t="s">
        <v>135</v>
      </c>
      <c r="D51" s="29" t="s">
        <v>73</v>
      </c>
      <c r="F51" s="21"/>
    </row>
    <row r="52" spans="2:6" ht="27.6" hidden="1" x14ac:dyDescent="0.25">
      <c r="B52" t="s">
        <v>93</v>
      </c>
      <c r="C52" t="s">
        <v>136</v>
      </c>
      <c r="D52" s="29" t="s">
        <v>74</v>
      </c>
      <c r="F52" s="21"/>
    </row>
    <row r="53" spans="2:6" ht="27.6" hidden="1" x14ac:dyDescent="0.25">
      <c r="B53" t="s">
        <v>93</v>
      </c>
      <c r="C53" t="s">
        <v>137</v>
      </c>
      <c r="D53" s="29" t="s">
        <v>75</v>
      </c>
      <c r="F53" s="21"/>
    </row>
    <row r="54" spans="2:6" hidden="1" x14ac:dyDescent="0.25">
      <c r="B54" t="s">
        <v>93</v>
      </c>
      <c r="C54" t="s">
        <v>138</v>
      </c>
      <c r="D54" s="29" t="s">
        <v>76</v>
      </c>
      <c r="F54" s="21"/>
    </row>
    <row r="55" spans="2:6" ht="27.6" hidden="1" x14ac:dyDescent="0.25">
      <c r="B55" t="s">
        <v>93</v>
      </c>
      <c r="C55" t="s">
        <v>139</v>
      </c>
      <c r="D55" s="29" t="s">
        <v>77</v>
      </c>
      <c r="F55" s="21"/>
    </row>
    <row r="56" spans="2:6" ht="27.6" hidden="1" x14ac:dyDescent="0.25">
      <c r="B56" t="s">
        <v>93</v>
      </c>
      <c r="C56" t="s">
        <v>140</v>
      </c>
      <c r="D56" s="29" t="s">
        <v>78</v>
      </c>
      <c r="F56" s="21"/>
    </row>
    <row r="57" spans="2:6" ht="27.6" hidden="1" x14ac:dyDescent="0.25">
      <c r="B57" t="s">
        <v>93</v>
      </c>
      <c r="C57" t="s">
        <v>141</v>
      </c>
      <c r="D57" s="29" t="s">
        <v>79</v>
      </c>
      <c r="F57" s="21"/>
    </row>
    <row r="58" spans="2:6" hidden="1" x14ac:dyDescent="0.25">
      <c r="B58" t="s">
        <v>93</v>
      </c>
      <c r="C58" t="s">
        <v>142</v>
      </c>
      <c r="D58" s="29" t="s">
        <v>80</v>
      </c>
      <c r="F58" s="21"/>
    </row>
  </sheetData>
  <mergeCells count="1">
    <mergeCell ref="A1:D1"/>
  </mergeCells>
  <pageMargins left="0.25" right="0.25"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8"/>
  <sheetViews>
    <sheetView showGridLines="0" topLeftCell="B1" zoomScale="149" zoomScaleNormal="130" workbookViewId="0">
      <pane ySplit="1" topLeftCell="A178" activePane="bottomLeft" state="frozen"/>
      <selection pane="bottomLeft" activeCell="C190" sqref="C190"/>
    </sheetView>
  </sheetViews>
  <sheetFormatPr baseColWidth="10" defaultRowHeight="13.8" x14ac:dyDescent="0.25"/>
  <cols>
    <col min="1" max="1" width="3.19921875" customWidth="1"/>
    <col min="2" max="2" width="41.5" customWidth="1"/>
    <col min="3" max="3" width="25.5" customWidth="1"/>
    <col min="4" max="4" width="29.296875" customWidth="1"/>
    <col min="5" max="5" width="16.19921875" customWidth="1"/>
  </cols>
  <sheetData>
    <row r="1" spans="1:4" ht="17.399999999999999" x14ac:dyDescent="0.25">
      <c r="A1" s="84" t="s">
        <v>152</v>
      </c>
      <c r="B1" s="84"/>
      <c r="C1" s="84"/>
      <c r="D1" s="84"/>
    </row>
    <row r="2" spans="1:4" ht="5.55" customHeight="1" x14ac:dyDescent="0.25"/>
    <row r="3" spans="1:4" ht="14.25" customHeight="1" x14ac:dyDescent="0.25">
      <c r="B3" s="85" t="s">
        <v>153</v>
      </c>
      <c r="C3" s="85"/>
      <c r="D3" s="85"/>
    </row>
    <row r="4" spans="1:4" ht="14.25" customHeight="1" x14ac:dyDescent="0.25">
      <c r="B4" s="85"/>
      <c r="C4" s="85"/>
      <c r="D4" s="85"/>
    </row>
    <row r="5" spans="1:4" ht="14.25" customHeight="1" x14ac:dyDescent="0.25">
      <c r="B5" s="85"/>
      <c r="C5" s="85"/>
      <c r="D5" s="85"/>
    </row>
    <row r="6" spans="1:4" ht="14.25" customHeight="1" x14ac:dyDescent="0.25">
      <c r="B6" s="85"/>
      <c r="C6" s="85"/>
      <c r="D6" s="85"/>
    </row>
    <row r="8" spans="1:4" x14ac:dyDescent="0.25">
      <c r="B8" s="36" t="s">
        <v>29</v>
      </c>
      <c r="C8" s="86"/>
      <c r="D8" s="86"/>
    </row>
    <row r="9" spans="1:4" x14ac:dyDescent="0.25">
      <c r="B9" s="78" t="s">
        <v>155</v>
      </c>
      <c r="C9" s="78"/>
      <c r="D9" s="78"/>
    </row>
    <row r="10" spans="1:4" x14ac:dyDescent="0.25">
      <c r="B10" s="78"/>
      <c r="C10" s="78"/>
      <c r="D10" s="78"/>
    </row>
    <row r="11" spans="1:4" x14ac:dyDescent="0.25">
      <c r="B11" s="82" t="s">
        <v>154</v>
      </c>
      <c r="C11" s="76"/>
      <c r="D11" s="76"/>
    </row>
    <row r="12" spans="1:4" x14ac:dyDescent="0.25">
      <c r="B12" s="76"/>
      <c r="C12" s="76"/>
      <c r="D12" s="76"/>
    </row>
    <row r="13" spans="1:4" x14ac:dyDescent="0.25">
      <c r="B13" s="76"/>
      <c r="C13" s="76"/>
      <c r="D13" s="76"/>
    </row>
    <row r="14" spans="1:4" x14ac:dyDescent="0.25">
      <c r="B14" s="76"/>
      <c r="C14" s="76"/>
      <c r="D14" s="76"/>
    </row>
    <row r="15" spans="1:4" ht="8.5500000000000007" customHeight="1" x14ac:dyDescent="0.25"/>
    <row r="16" spans="1:4" x14ac:dyDescent="0.25">
      <c r="B16" s="3" t="s">
        <v>97</v>
      </c>
      <c r="C16" s="3" t="s">
        <v>96</v>
      </c>
    </row>
    <row r="17" spans="2:4" x14ac:dyDescent="0.25">
      <c r="B17" s="4">
        <v>0.2</v>
      </c>
      <c r="C17" s="5" t="s">
        <v>30</v>
      </c>
    </row>
    <row r="18" spans="2:4" x14ac:dyDescent="0.25">
      <c r="B18" s="6">
        <v>5</v>
      </c>
      <c r="C18" s="5" t="s">
        <v>31</v>
      </c>
    </row>
    <row r="19" spans="2:4" x14ac:dyDescent="0.25">
      <c r="B19" s="7">
        <v>10000000</v>
      </c>
      <c r="C19" s="5" t="s">
        <v>32</v>
      </c>
    </row>
    <row r="20" spans="2:4" x14ac:dyDescent="0.25">
      <c r="B20" s="8">
        <v>100000000</v>
      </c>
      <c r="C20" s="5" t="s">
        <v>33</v>
      </c>
    </row>
    <row r="21" spans="2:4" x14ac:dyDescent="0.25">
      <c r="B21" s="41">
        <f>PV(B17,B18,B19,B20)</f>
        <v>-70093878.600823045</v>
      </c>
      <c r="C21" s="23" t="s">
        <v>34</v>
      </c>
      <c r="D21" t="str">
        <f ca="1">_xlfn.FORMULATEXT(B21)</f>
        <v>=VA(B17;B18;B19;B20)</v>
      </c>
    </row>
    <row r="22" spans="2:4" x14ac:dyDescent="0.25">
      <c r="B22" s="22"/>
    </row>
    <row r="23" spans="2:4" x14ac:dyDescent="0.25">
      <c r="B23" s="22"/>
    </row>
    <row r="24" spans="2:4" x14ac:dyDescent="0.25">
      <c r="B24" s="36" t="s">
        <v>35</v>
      </c>
      <c r="C24" s="86"/>
      <c r="D24" s="86"/>
    </row>
    <row r="25" spans="2:4" x14ac:dyDescent="0.25">
      <c r="B25" s="78" t="s">
        <v>157</v>
      </c>
      <c r="C25" s="78"/>
      <c r="D25" s="78"/>
    </row>
    <row r="26" spans="2:4" x14ac:dyDescent="0.25">
      <c r="B26" s="78"/>
      <c r="C26" s="78"/>
      <c r="D26" s="78"/>
    </row>
    <row r="27" spans="2:4" x14ac:dyDescent="0.25">
      <c r="B27" s="82" t="s">
        <v>156</v>
      </c>
      <c r="C27" s="76"/>
      <c r="D27" s="76"/>
    </row>
    <row r="28" spans="2:4" x14ac:dyDescent="0.25">
      <c r="B28" s="76"/>
      <c r="C28" s="76"/>
      <c r="D28" s="76"/>
    </row>
    <row r="29" spans="2:4" x14ac:dyDescent="0.25">
      <c r="B29" s="76"/>
      <c r="C29" s="76"/>
      <c r="D29" s="76"/>
    </row>
    <row r="30" spans="2:4" x14ac:dyDescent="0.25">
      <c r="B30" s="76"/>
      <c r="C30" s="76"/>
      <c r="D30" s="76"/>
    </row>
    <row r="31" spans="2:4" x14ac:dyDescent="0.25">
      <c r="B31" s="76"/>
      <c r="C31" s="76"/>
      <c r="D31" s="76"/>
    </row>
    <row r="32" spans="2:4" ht="14.55" customHeight="1" x14ac:dyDescent="0.25"/>
    <row r="33" spans="2:4" x14ac:dyDescent="0.25">
      <c r="B33" s="3" t="s">
        <v>97</v>
      </c>
      <c r="C33" s="3" t="s">
        <v>96</v>
      </c>
    </row>
    <row r="34" spans="2:4" x14ac:dyDescent="0.25">
      <c r="B34" s="31">
        <f>NOMINAL(0.08,12)/12</f>
        <v>6.4340301100034303E-3</v>
      </c>
      <c r="C34" s="5" t="s">
        <v>30</v>
      </c>
    </row>
    <row r="35" spans="2:4" x14ac:dyDescent="0.25">
      <c r="B35" s="6">
        <v>120</v>
      </c>
      <c r="C35" s="5" t="s">
        <v>31</v>
      </c>
    </row>
    <row r="36" spans="2:4" x14ac:dyDescent="0.25">
      <c r="B36" s="28">
        <v>-500000</v>
      </c>
      <c r="C36" s="5" t="s">
        <v>32</v>
      </c>
    </row>
    <row r="37" spans="2:4" x14ac:dyDescent="0.25">
      <c r="B37" s="28">
        <v>-10000000</v>
      </c>
      <c r="C37" s="5" t="s">
        <v>34</v>
      </c>
    </row>
    <row r="38" spans="2:4" x14ac:dyDescent="0.25">
      <c r="B38" s="45">
        <f>FV(B34,B35,B36,B37)</f>
        <v>111651386.56973591</v>
      </c>
      <c r="C38" s="23" t="s">
        <v>33</v>
      </c>
      <c r="D38" t="str">
        <f ca="1">_xlfn.FORMULATEXT(B38)</f>
        <v>=VF(B34;B35;B36;B37)</v>
      </c>
    </row>
    <row r="39" spans="2:4" x14ac:dyDescent="0.25">
      <c r="B39" s="47"/>
    </row>
    <row r="40" spans="2:4" x14ac:dyDescent="0.25">
      <c r="B40" s="47"/>
    </row>
    <row r="41" spans="2:4" x14ac:dyDescent="0.25">
      <c r="B41" s="36" t="s">
        <v>30</v>
      </c>
      <c r="C41" s="36"/>
      <c r="D41" s="36"/>
    </row>
    <row r="42" spans="2:4" ht="15.6" customHeight="1" x14ac:dyDescent="0.25">
      <c r="B42" s="83" t="s">
        <v>159</v>
      </c>
      <c r="C42" s="83"/>
      <c r="D42" s="83"/>
    </row>
    <row r="43" spans="2:4" ht="15.6" customHeight="1" x14ac:dyDescent="0.25">
      <c r="B43" s="83"/>
      <c r="C43" s="83"/>
      <c r="D43" s="83"/>
    </row>
    <row r="44" spans="2:4" x14ac:dyDescent="0.25">
      <c r="B44" s="82" t="s">
        <v>158</v>
      </c>
      <c r="C44" s="76"/>
      <c r="D44" s="76"/>
    </row>
    <row r="45" spans="2:4" x14ac:dyDescent="0.25">
      <c r="B45" s="76"/>
      <c r="C45" s="76"/>
      <c r="D45" s="76"/>
    </row>
    <row r="46" spans="2:4" x14ac:dyDescent="0.25">
      <c r="B46" s="76"/>
      <c r="C46" s="76"/>
      <c r="D46" s="76"/>
    </row>
    <row r="47" spans="2:4" x14ac:dyDescent="0.25">
      <c r="B47" s="76"/>
      <c r="C47" s="76"/>
      <c r="D47" s="76"/>
    </row>
    <row r="48" spans="2:4" x14ac:dyDescent="0.25">
      <c r="B48" s="76"/>
      <c r="C48" s="76"/>
      <c r="D48" s="76"/>
    </row>
    <row r="49" spans="2:4" ht="14.4" customHeight="1" x14ac:dyDescent="0.25"/>
    <row r="50" spans="2:4" x14ac:dyDescent="0.25">
      <c r="B50" s="3" t="s">
        <v>97</v>
      </c>
      <c r="C50" s="3" t="s">
        <v>96</v>
      </c>
    </row>
    <row r="51" spans="2:4" x14ac:dyDescent="0.25">
      <c r="B51" s="6">
        <v>5</v>
      </c>
      <c r="C51" s="5" t="s">
        <v>31</v>
      </c>
    </row>
    <row r="52" spans="2:4" x14ac:dyDescent="0.25">
      <c r="B52" s="28">
        <v>5000000</v>
      </c>
      <c r="C52" s="5" t="s">
        <v>32</v>
      </c>
    </row>
    <row r="53" spans="2:4" x14ac:dyDescent="0.25">
      <c r="B53" s="28">
        <v>-80000000</v>
      </c>
      <c r="C53" s="5" t="s">
        <v>34</v>
      </c>
    </row>
    <row r="54" spans="2:4" x14ac:dyDescent="0.25">
      <c r="B54" s="28">
        <v>100000000</v>
      </c>
      <c r="C54" s="5" t="s">
        <v>33</v>
      </c>
    </row>
    <row r="55" spans="2:4" x14ac:dyDescent="0.25">
      <c r="B55" s="44">
        <f>RATE(B51,B52,B53,B54)</f>
        <v>0.10319016331988874</v>
      </c>
      <c r="C55" s="23" t="s">
        <v>30</v>
      </c>
      <c r="D55" t="str">
        <f ca="1">_xlfn.FORMULATEXT(B55)</f>
        <v>=TASA(B51;B52;B53;B54)</v>
      </c>
    </row>
    <row r="58" spans="2:4" x14ac:dyDescent="0.25">
      <c r="B58" s="36" t="s">
        <v>31</v>
      </c>
      <c r="C58" s="36"/>
      <c r="D58" s="36"/>
    </row>
    <row r="59" spans="2:4" ht="13.8" customHeight="1" x14ac:dyDescent="0.25">
      <c r="B59" s="77" t="s">
        <v>161</v>
      </c>
      <c r="C59" s="77"/>
      <c r="D59" s="77"/>
    </row>
    <row r="60" spans="2:4" x14ac:dyDescent="0.25">
      <c r="B60" s="77"/>
      <c r="C60" s="77"/>
      <c r="D60" s="77"/>
    </row>
    <row r="61" spans="2:4" x14ac:dyDescent="0.25">
      <c r="B61" s="82" t="s">
        <v>160</v>
      </c>
      <c r="C61" s="76"/>
      <c r="D61" s="76"/>
    </row>
    <row r="62" spans="2:4" x14ac:dyDescent="0.25">
      <c r="B62" s="76"/>
      <c r="C62" s="76"/>
      <c r="D62" s="76"/>
    </row>
    <row r="63" spans="2:4" x14ac:dyDescent="0.25">
      <c r="B63" s="76"/>
      <c r="C63" s="76"/>
      <c r="D63" s="76"/>
    </row>
    <row r="64" spans="2:4" x14ac:dyDescent="0.25">
      <c r="B64" s="76"/>
      <c r="C64" s="76"/>
      <c r="D64" s="76"/>
    </row>
    <row r="66" spans="2:4" x14ac:dyDescent="0.25">
      <c r="B66" s="3" t="s">
        <v>97</v>
      </c>
      <c r="C66" s="3" t="s">
        <v>96</v>
      </c>
    </row>
    <row r="67" spans="2:4" x14ac:dyDescent="0.25">
      <c r="B67" s="10">
        <f>NOMINAL(0.1088,12)/12</f>
        <v>8.6436717728521906E-3</v>
      </c>
      <c r="C67" s="5" t="s">
        <v>30</v>
      </c>
    </row>
    <row r="68" spans="2:4" x14ac:dyDescent="0.25">
      <c r="B68" s="30">
        <v>-2000000</v>
      </c>
      <c r="C68" s="5" t="s">
        <v>32</v>
      </c>
      <c r="D68" s="32">
        <f>PMT(B67,180,-B69)</f>
        <v>1097501.9410895859</v>
      </c>
    </row>
    <row r="69" spans="2:4" x14ac:dyDescent="0.25">
      <c r="B69" s="30">
        <v>100000000</v>
      </c>
      <c r="C69" s="5" t="s">
        <v>34</v>
      </c>
    </row>
    <row r="70" spans="2:4" x14ac:dyDescent="0.25">
      <c r="B70" s="97">
        <f>FV(B67,B71,B68,-B69)</f>
        <v>352226522.51612639</v>
      </c>
      <c r="C70" s="5" t="s">
        <v>33</v>
      </c>
      <c r="D70" s="38"/>
    </row>
    <row r="71" spans="2:4" x14ac:dyDescent="0.25">
      <c r="B71" s="40">
        <f>NPER(B67,B68,B69)</f>
        <v>65.759044556032805</v>
      </c>
      <c r="C71" s="23" t="s">
        <v>31</v>
      </c>
      <c r="D71" t="str">
        <f ca="1">_xlfn.FORMULATEXT(B71)</f>
        <v>=NPER(B67;B68;B69)</v>
      </c>
    </row>
    <row r="72" spans="2:4" x14ac:dyDescent="0.25">
      <c r="B72" s="38"/>
    </row>
    <row r="73" spans="2:4" x14ac:dyDescent="0.25">
      <c r="B73" s="38"/>
    </row>
    <row r="74" spans="2:4" x14ac:dyDescent="0.25">
      <c r="B74" s="36" t="s">
        <v>60</v>
      </c>
      <c r="C74" s="36"/>
      <c r="D74" s="36"/>
    </row>
    <row r="75" spans="2:4" ht="13.8" customHeight="1" x14ac:dyDescent="0.25">
      <c r="B75" s="77" t="s">
        <v>163</v>
      </c>
      <c r="C75" s="77"/>
      <c r="D75" s="77"/>
    </row>
    <row r="76" spans="2:4" x14ac:dyDescent="0.25">
      <c r="B76" s="77"/>
      <c r="C76" s="77"/>
      <c r="D76" s="77"/>
    </row>
    <row r="77" spans="2:4" x14ac:dyDescent="0.25">
      <c r="B77" s="82" t="s">
        <v>162</v>
      </c>
      <c r="C77" s="76"/>
      <c r="D77" s="76"/>
    </row>
    <row r="78" spans="2:4" x14ac:dyDescent="0.25">
      <c r="B78" s="76"/>
      <c r="C78" s="76"/>
      <c r="D78" s="76"/>
    </row>
    <row r="79" spans="2:4" x14ac:dyDescent="0.25">
      <c r="B79" s="76"/>
      <c r="C79" s="76"/>
      <c r="D79" s="76"/>
    </row>
    <row r="80" spans="2:4" ht="12" customHeight="1" x14ac:dyDescent="0.25"/>
    <row r="81" spans="2:4" x14ac:dyDescent="0.25">
      <c r="B81" s="3" t="s">
        <v>97</v>
      </c>
      <c r="C81" s="3" t="s">
        <v>96</v>
      </c>
    </row>
    <row r="82" spans="2:4" x14ac:dyDescent="0.25">
      <c r="B82" s="9">
        <v>40</v>
      </c>
      <c r="C82" s="5" t="s">
        <v>31</v>
      </c>
    </row>
    <row r="83" spans="2:4" x14ac:dyDescent="0.25">
      <c r="B83" s="28">
        <v>1000000</v>
      </c>
      <c r="C83" s="5" t="s">
        <v>34</v>
      </c>
    </row>
    <row r="84" spans="2:4" x14ac:dyDescent="0.25">
      <c r="B84" s="28">
        <v>250000000</v>
      </c>
      <c r="C84" s="5" t="s">
        <v>33</v>
      </c>
    </row>
    <row r="85" spans="2:4" x14ac:dyDescent="0.25">
      <c r="B85" s="44">
        <f>_xlfn.RRI(B82,B83,B84)</f>
        <v>0.14801747848951541</v>
      </c>
      <c r="C85" s="23" t="s">
        <v>60</v>
      </c>
      <c r="D85" t="str">
        <f ca="1">_xlfn.FORMULATEXT(B85)</f>
        <v>=RRI(B82;B83;B84)</v>
      </c>
    </row>
    <row r="86" spans="2:4" x14ac:dyDescent="0.25">
      <c r="B86" s="48">
        <f>RATE(B82,0,-B83,B84)</f>
        <v>0.14801747848951557</v>
      </c>
      <c r="C86" s="23" t="s">
        <v>30</v>
      </c>
      <c r="D86" t="str">
        <f ca="1">_xlfn.FORMULATEXT(B86)</f>
        <v>=TASA(B82;0;-B83;B84)</v>
      </c>
    </row>
    <row r="89" spans="2:4" x14ac:dyDescent="0.25">
      <c r="B89" s="36" t="s">
        <v>95</v>
      </c>
      <c r="C89" s="36"/>
      <c r="D89" s="36"/>
    </row>
    <row r="90" spans="2:4" ht="13.8" customHeight="1" x14ac:dyDescent="0.25">
      <c r="B90" s="78" t="s">
        <v>165</v>
      </c>
      <c r="C90" s="78"/>
      <c r="D90" s="78"/>
    </row>
    <row r="91" spans="2:4" x14ac:dyDescent="0.25">
      <c r="B91" s="78"/>
      <c r="C91" s="78"/>
      <c r="D91" s="78"/>
    </row>
    <row r="92" spans="2:4" x14ac:dyDescent="0.25">
      <c r="B92" s="75" t="s">
        <v>164</v>
      </c>
      <c r="C92" s="76"/>
      <c r="D92" s="76"/>
    </row>
    <row r="93" spans="2:4" x14ac:dyDescent="0.25">
      <c r="B93" s="76"/>
      <c r="C93" s="76"/>
      <c r="D93" s="76"/>
    </row>
    <row r="94" spans="2:4" x14ac:dyDescent="0.25">
      <c r="B94" s="76"/>
      <c r="C94" s="76"/>
      <c r="D94" s="76"/>
    </row>
    <row r="96" spans="2:4" x14ac:dyDescent="0.25">
      <c r="B96" s="3" t="s">
        <v>97</v>
      </c>
      <c r="C96" s="3" t="s">
        <v>96</v>
      </c>
    </row>
    <row r="97" spans="2:4" x14ac:dyDescent="0.25">
      <c r="B97" s="25">
        <v>0.09</v>
      </c>
      <c r="C97" s="15" t="s">
        <v>30</v>
      </c>
    </row>
    <row r="98" spans="2:4" x14ac:dyDescent="0.25">
      <c r="B98" s="33">
        <v>100000000</v>
      </c>
      <c r="C98" s="15" t="s">
        <v>34</v>
      </c>
    </row>
    <row r="99" spans="2:4" x14ac:dyDescent="0.25">
      <c r="B99" s="33">
        <v>250000000</v>
      </c>
      <c r="C99" s="15" t="s">
        <v>33</v>
      </c>
    </row>
    <row r="100" spans="2:4" x14ac:dyDescent="0.25">
      <c r="B100" s="43">
        <f>_xlfn.PDURATION(B97,B98,B99)</f>
        <v>10.63257399352084</v>
      </c>
      <c r="C100" s="23" t="s">
        <v>95</v>
      </c>
      <c r="D100" t="str">
        <f t="shared" ref="D100:D101" ca="1" si="0">_xlfn.FORMULATEXT(B100)</f>
        <v>=P.DURACION(B97;B98;B99)</v>
      </c>
    </row>
    <row r="101" spans="2:4" x14ac:dyDescent="0.25">
      <c r="B101" s="49">
        <f>NPER(B97,0,-B98,B99)</f>
        <v>10.63257399352087</v>
      </c>
      <c r="C101" s="23" t="s">
        <v>31</v>
      </c>
      <c r="D101" t="str">
        <f ca="1">_xlfn.FORMULATEXT(B101)</f>
        <v>=NPER(B97;0;-B98;B99)</v>
      </c>
    </row>
    <row r="104" spans="2:4" x14ac:dyDescent="0.25">
      <c r="B104" s="36" t="s">
        <v>32</v>
      </c>
      <c r="C104" s="36"/>
      <c r="D104" s="36"/>
    </row>
    <row r="105" spans="2:4" ht="13.8" customHeight="1" x14ac:dyDescent="0.25">
      <c r="B105" s="79" t="s">
        <v>167</v>
      </c>
      <c r="C105" s="79"/>
      <c r="D105" s="79"/>
    </row>
    <row r="106" spans="2:4" x14ac:dyDescent="0.25">
      <c r="B106" s="79"/>
      <c r="C106" s="79"/>
      <c r="D106" s="79"/>
    </row>
    <row r="107" spans="2:4" x14ac:dyDescent="0.25">
      <c r="B107" s="75" t="s">
        <v>166</v>
      </c>
      <c r="C107" s="76"/>
      <c r="D107" s="76"/>
    </row>
    <row r="108" spans="2:4" x14ac:dyDescent="0.25">
      <c r="B108" s="76"/>
      <c r="C108" s="76"/>
      <c r="D108" s="76"/>
    </row>
    <row r="109" spans="2:4" x14ac:dyDescent="0.25">
      <c r="B109" s="76"/>
      <c r="C109" s="76"/>
      <c r="D109" s="76"/>
    </row>
    <row r="111" spans="2:4" x14ac:dyDescent="0.25">
      <c r="B111" s="3" t="s">
        <v>97</v>
      </c>
      <c r="C111" s="3" t="s">
        <v>96</v>
      </c>
    </row>
    <row r="112" spans="2:4" x14ac:dyDescent="0.25">
      <c r="B112" s="11">
        <v>8.9999999999999993E-3</v>
      </c>
      <c r="C112" s="5" t="s">
        <v>30</v>
      </c>
    </row>
    <row r="113" spans="2:4" x14ac:dyDescent="0.25">
      <c r="B113" s="6">
        <v>180</v>
      </c>
      <c r="C113" s="5" t="s">
        <v>31</v>
      </c>
    </row>
    <row r="114" spans="2:4" x14ac:dyDescent="0.25">
      <c r="B114" s="28">
        <v>200000000</v>
      </c>
      <c r="C114" s="5" t="s">
        <v>34</v>
      </c>
    </row>
    <row r="115" spans="2:4" x14ac:dyDescent="0.25">
      <c r="B115" s="30">
        <v>0</v>
      </c>
      <c r="C115" s="5" t="s">
        <v>33</v>
      </c>
    </row>
    <row r="116" spans="2:4" ht="22.8" customHeight="1" x14ac:dyDescent="0.25">
      <c r="B116" s="41">
        <f>PMT(B112,B113,B114,B115)</f>
        <v>-2248139.6396534471</v>
      </c>
      <c r="C116" s="23" t="s">
        <v>32</v>
      </c>
      <c r="D116" t="str">
        <f t="shared" ref="D116" ca="1" si="1">_xlfn.FORMULATEXT(B116)</f>
        <v>=PAGO(B112;B113;B114;B115)</v>
      </c>
    </row>
    <row r="119" spans="2:4" x14ac:dyDescent="0.25">
      <c r="B119" s="36" t="s">
        <v>99</v>
      </c>
      <c r="C119" s="36"/>
      <c r="D119" s="36"/>
    </row>
    <row r="120" spans="2:4" x14ac:dyDescent="0.25">
      <c r="B120" s="79" t="s">
        <v>174</v>
      </c>
      <c r="C120" s="79"/>
      <c r="D120" s="79"/>
    </row>
    <row r="121" spans="2:4" x14ac:dyDescent="0.25">
      <c r="B121" s="79"/>
      <c r="C121" s="79"/>
      <c r="D121" s="79"/>
    </row>
    <row r="122" spans="2:4" ht="15.45" customHeight="1" x14ac:dyDescent="0.25">
      <c r="B122" s="80" t="s">
        <v>168</v>
      </c>
      <c r="C122" s="81"/>
      <c r="D122" s="81"/>
    </row>
    <row r="123" spans="2:4" ht="15.45" customHeight="1" x14ac:dyDescent="0.25">
      <c r="B123" s="81"/>
      <c r="C123" s="81"/>
      <c r="D123" s="81"/>
    </row>
    <row r="124" spans="2:4" ht="15.45" customHeight="1" x14ac:dyDescent="0.25">
      <c r="B124" s="81"/>
      <c r="C124" s="81"/>
      <c r="D124" s="81"/>
    </row>
    <row r="125" spans="2:4" ht="15.45" customHeight="1" x14ac:dyDescent="0.25">
      <c r="B125" s="81"/>
      <c r="C125" s="81"/>
      <c r="D125" s="81"/>
    </row>
    <row r="127" spans="2:4" x14ac:dyDescent="0.25">
      <c r="B127" s="3" t="s">
        <v>97</v>
      </c>
      <c r="C127" s="3" t="s">
        <v>96</v>
      </c>
    </row>
    <row r="128" spans="2:4" x14ac:dyDescent="0.25">
      <c r="B128" s="11">
        <v>8.9999999999999993E-3</v>
      </c>
      <c r="C128" s="5" t="s">
        <v>30</v>
      </c>
    </row>
    <row r="129" spans="2:4" x14ac:dyDescent="0.25">
      <c r="B129" s="42">
        <v>104</v>
      </c>
      <c r="C129" s="5" t="s">
        <v>37</v>
      </c>
    </row>
    <row r="130" spans="2:4" x14ac:dyDescent="0.25">
      <c r="B130" s="6">
        <v>180</v>
      </c>
      <c r="C130" s="5" t="s">
        <v>31</v>
      </c>
    </row>
    <row r="131" spans="2:4" x14ac:dyDescent="0.25">
      <c r="B131" s="28">
        <v>200000000</v>
      </c>
      <c r="C131" s="5" t="s">
        <v>34</v>
      </c>
    </row>
    <row r="132" spans="2:4" x14ac:dyDescent="0.25">
      <c r="B132" s="30">
        <v>0</v>
      </c>
      <c r="C132" s="5" t="s">
        <v>33</v>
      </c>
    </row>
    <row r="133" spans="2:4" x14ac:dyDescent="0.25">
      <c r="B133" s="41">
        <f>IPMT(B128,B129,B130,B131,B132)</f>
        <v>-1120413.9260790104</v>
      </c>
      <c r="C133" s="23" t="s">
        <v>36</v>
      </c>
      <c r="D133" t="str">
        <f t="shared" ref="D133:D134" ca="1" si="2">_xlfn.FORMULATEXT(B133)</f>
        <v>=PAGOINT(B128;B129;B130;B131;B132)</v>
      </c>
    </row>
    <row r="134" spans="2:4" x14ac:dyDescent="0.25">
      <c r="B134" s="41">
        <f>PPMT(B128,B129,B130,B131,B132)</f>
        <v>-1127725.7135744365</v>
      </c>
      <c r="C134" s="23" t="s">
        <v>38</v>
      </c>
      <c r="D134" t="str">
        <f t="shared" ca="1" si="2"/>
        <v>=PAGOPRIN(B128;B129;B130;B131;B132)</v>
      </c>
    </row>
    <row r="135" spans="2:4" x14ac:dyDescent="0.25">
      <c r="B135" s="14">
        <f>B133+B134</f>
        <v>-2248139.6396534471</v>
      </c>
      <c r="C135" s="14"/>
    </row>
    <row r="136" spans="2:4" x14ac:dyDescent="0.25">
      <c r="B136" s="14"/>
      <c r="C136" s="18"/>
    </row>
    <row r="137" spans="2:4" x14ac:dyDescent="0.25">
      <c r="B137" s="36" t="s">
        <v>98</v>
      </c>
      <c r="C137" s="36"/>
    </row>
    <row r="138" spans="2:4" x14ac:dyDescent="0.25">
      <c r="B138" s="79" t="s">
        <v>175</v>
      </c>
      <c r="C138" s="79"/>
      <c r="D138" s="79"/>
    </row>
    <row r="139" spans="2:4" x14ac:dyDescent="0.25">
      <c r="B139" s="79"/>
      <c r="C139" s="79"/>
      <c r="D139" s="79"/>
    </row>
    <row r="140" spans="2:4" x14ac:dyDescent="0.25">
      <c r="B140" s="80" t="s">
        <v>169</v>
      </c>
      <c r="C140" s="81"/>
      <c r="D140" s="81"/>
    </row>
    <row r="141" spans="2:4" x14ac:dyDescent="0.25">
      <c r="B141" s="81"/>
      <c r="C141" s="81"/>
      <c r="D141" s="81"/>
    </row>
    <row r="142" spans="2:4" x14ac:dyDescent="0.25">
      <c r="B142" s="81"/>
      <c r="C142" s="81"/>
      <c r="D142" s="81"/>
    </row>
    <row r="143" spans="2:4" x14ac:dyDescent="0.25">
      <c r="B143" s="81"/>
      <c r="C143" s="81"/>
      <c r="D143" s="81"/>
    </row>
    <row r="145" spans="2:4" x14ac:dyDescent="0.25">
      <c r="B145" s="3" t="s">
        <v>97</v>
      </c>
      <c r="C145" s="3" t="s">
        <v>96</v>
      </c>
    </row>
    <row r="146" spans="2:4" x14ac:dyDescent="0.25">
      <c r="B146" s="11">
        <v>1.4E-2</v>
      </c>
      <c r="C146" s="5" t="s">
        <v>30</v>
      </c>
    </row>
    <row r="147" spans="2:4" x14ac:dyDescent="0.25">
      <c r="B147" s="6">
        <v>180</v>
      </c>
      <c r="C147" s="5" t="s">
        <v>31</v>
      </c>
    </row>
    <row r="148" spans="2:4" x14ac:dyDescent="0.25">
      <c r="B148" s="28">
        <v>200000000</v>
      </c>
      <c r="C148" s="5" t="s">
        <v>34</v>
      </c>
    </row>
    <row r="149" spans="2:4" x14ac:dyDescent="0.25">
      <c r="B149" s="12">
        <v>1</v>
      </c>
      <c r="C149" s="5" t="s">
        <v>146</v>
      </c>
    </row>
    <row r="150" spans="2:4" x14ac:dyDescent="0.25">
      <c r="B150" s="12">
        <v>180</v>
      </c>
      <c r="C150" s="5" t="s">
        <v>147</v>
      </c>
    </row>
    <row r="151" spans="2:4" x14ac:dyDescent="0.25">
      <c r="B151" s="13">
        <v>0</v>
      </c>
      <c r="C151" s="5" t="s">
        <v>40</v>
      </c>
    </row>
    <row r="152" spans="2:4" ht="19.8" customHeight="1" x14ac:dyDescent="0.25">
      <c r="B152" s="40">
        <f>CUMIPMT(B146,B147,B148,B149,B150,B151)</f>
        <v>-348946752.74667549</v>
      </c>
      <c r="C152" s="23" t="s">
        <v>39</v>
      </c>
      <c r="D152" t="str">
        <f t="shared" ref="D152:D153" ca="1" si="3">_xlfn.FORMULATEXT(B152)</f>
        <v>=PAGO.INT.ENTRE(B146;B147;B148;B149;B150;B151)</v>
      </c>
    </row>
    <row r="153" spans="2:4" ht="19.8" customHeight="1" x14ac:dyDescent="0.25">
      <c r="B153" s="40">
        <f>CUMPRINC(B146,B147,B148,B149,B150,B151)</f>
        <v>-199999999.99999997</v>
      </c>
      <c r="C153" s="23" t="s">
        <v>41</v>
      </c>
      <c r="D153" t="str">
        <f t="shared" ca="1" si="3"/>
        <v>=PAGO.PRINC.ENTRE(B146;B147;B148;B149;B150;B151)</v>
      </c>
    </row>
    <row r="154" spans="2:4" x14ac:dyDescent="0.25">
      <c r="B154" s="18"/>
    </row>
    <row r="155" spans="2:4" x14ac:dyDescent="0.25">
      <c r="B155" s="18"/>
      <c r="C155" s="14"/>
    </row>
    <row r="156" spans="2:4" x14ac:dyDescent="0.25">
      <c r="B156" s="36" t="s">
        <v>62</v>
      </c>
      <c r="C156" s="36"/>
      <c r="D156" s="36"/>
    </row>
    <row r="157" spans="2:4" ht="13.8" customHeight="1" x14ac:dyDescent="0.25">
      <c r="B157" s="77" t="s">
        <v>171</v>
      </c>
      <c r="C157" s="77"/>
      <c r="D157" s="77"/>
    </row>
    <row r="158" spans="2:4" x14ac:dyDescent="0.25">
      <c r="B158" s="77"/>
      <c r="C158" s="77"/>
      <c r="D158" s="77"/>
    </row>
    <row r="159" spans="2:4" x14ac:dyDescent="0.25">
      <c r="B159" s="82" t="s">
        <v>170</v>
      </c>
      <c r="C159" s="76"/>
      <c r="D159" s="76"/>
    </row>
    <row r="160" spans="2:4" x14ac:dyDescent="0.25">
      <c r="B160" s="76"/>
      <c r="C160" s="76"/>
      <c r="D160" s="76"/>
    </row>
    <row r="161" spans="2:4" x14ac:dyDescent="0.25">
      <c r="B161" s="76"/>
      <c r="C161" s="76"/>
      <c r="D161" s="76"/>
    </row>
    <row r="162" spans="2:4" x14ac:dyDescent="0.25">
      <c r="B162" s="76"/>
      <c r="C162" s="76"/>
      <c r="D162" s="76"/>
    </row>
    <row r="164" spans="2:4" x14ac:dyDescent="0.25">
      <c r="B164" s="3" t="s">
        <v>97</v>
      </c>
      <c r="C164" s="3" t="s">
        <v>96</v>
      </c>
    </row>
    <row r="165" spans="2:4" x14ac:dyDescent="0.25">
      <c r="B165" s="11">
        <v>0.01</v>
      </c>
      <c r="C165" s="5" t="s">
        <v>30</v>
      </c>
    </row>
    <row r="166" spans="2:4" x14ac:dyDescent="0.25">
      <c r="B166" s="40">
        <v>59</v>
      </c>
      <c r="C166" s="5" t="s">
        <v>37</v>
      </c>
    </row>
    <row r="167" spans="2:4" x14ac:dyDescent="0.25">
      <c r="B167" s="6">
        <v>60</v>
      </c>
      <c r="C167" s="5" t="s">
        <v>31</v>
      </c>
    </row>
    <row r="168" spans="2:4" x14ac:dyDescent="0.25">
      <c r="B168" s="28">
        <v>100000000</v>
      </c>
      <c r="C168" s="5" t="s">
        <v>34</v>
      </c>
    </row>
    <row r="169" spans="2:4" x14ac:dyDescent="0.25">
      <c r="B169" s="40">
        <f>-ISPMT(B165,B166,B167,B168)</f>
        <v>16666.666666666668</v>
      </c>
      <c r="C169" s="23" t="s">
        <v>62</v>
      </c>
      <c r="D169" t="str">
        <f ca="1">_xlfn.FORMULATEXT(B169)</f>
        <v>=-INT.PAGO.DIR(B165;B166;B167;B168)</v>
      </c>
    </row>
    <row r="170" spans="2:4" x14ac:dyDescent="0.25">
      <c r="B170" s="40">
        <f>B168/B167</f>
        <v>1666666.6666666667</v>
      </c>
      <c r="C170" s="23" t="s">
        <v>151</v>
      </c>
      <c r="D170" t="str">
        <f ca="1">_xlfn.FORMULATEXT(B170)</f>
        <v>=B168/B167</v>
      </c>
    </row>
    <row r="171" spans="2:4" x14ac:dyDescent="0.25">
      <c r="B171" s="50">
        <f>B169+B170</f>
        <v>1683333.3333333335</v>
      </c>
      <c r="C171" s="23" t="s">
        <v>149</v>
      </c>
      <c r="D171" t="str">
        <f ca="1">_xlfn.FORMULATEXT(B171)</f>
        <v>=B169+B170</v>
      </c>
    </row>
    <row r="173" spans="2:4" x14ac:dyDescent="0.25">
      <c r="B173" s="36" t="s">
        <v>42</v>
      </c>
      <c r="C173" s="36"/>
      <c r="D173" s="36"/>
    </row>
    <row r="174" spans="2:4" ht="13.8" customHeight="1" x14ac:dyDescent="0.25">
      <c r="B174" s="79" t="s">
        <v>173</v>
      </c>
      <c r="C174" s="79"/>
      <c r="D174" s="79"/>
    </row>
    <row r="175" spans="2:4" x14ac:dyDescent="0.25">
      <c r="B175" s="79"/>
      <c r="C175" s="79"/>
      <c r="D175" s="79"/>
    </row>
    <row r="176" spans="2:4" x14ac:dyDescent="0.25">
      <c r="B176" s="75" t="s">
        <v>172</v>
      </c>
      <c r="C176" s="76"/>
      <c r="D176" s="76"/>
    </row>
    <row r="177" spans="2:5" x14ac:dyDescent="0.25">
      <c r="B177" s="76"/>
      <c r="C177" s="76"/>
      <c r="D177" s="76"/>
    </row>
    <row r="178" spans="2:5" x14ac:dyDescent="0.25">
      <c r="B178" s="76"/>
      <c r="C178" s="76"/>
      <c r="D178" s="76"/>
    </row>
    <row r="179" spans="2:5" x14ac:dyDescent="0.25">
      <c r="B179" s="76"/>
      <c r="C179" s="76"/>
      <c r="D179" s="76"/>
    </row>
    <row r="181" spans="2:5" x14ac:dyDescent="0.25">
      <c r="B181" s="3" t="s">
        <v>97</v>
      </c>
      <c r="C181" s="3" t="s">
        <v>96</v>
      </c>
    </row>
    <row r="182" spans="2:5" x14ac:dyDescent="0.25">
      <c r="B182" s="14">
        <v>100000000</v>
      </c>
      <c r="C182" s="15" t="s">
        <v>43</v>
      </c>
    </row>
    <row r="183" spans="2:5" x14ac:dyDescent="0.25">
      <c r="B183" s="1">
        <v>0.05</v>
      </c>
      <c r="C183" s="15" t="s">
        <v>44</v>
      </c>
      <c r="D183" s="14"/>
      <c r="E183" s="24"/>
    </row>
    <row r="184" spans="2:5" x14ac:dyDescent="0.25">
      <c r="B184" s="1">
        <v>0.1</v>
      </c>
      <c r="C184" s="15" t="s">
        <v>45</v>
      </c>
      <c r="D184" s="14"/>
      <c r="E184" s="24"/>
    </row>
    <row r="185" spans="2:5" x14ac:dyDescent="0.25">
      <c r="B185" s="1">
        <v>0.15</v>
      </c>
      <c r="C185" s="15" t="s">
        <v>46</v>
      </c>
      <c r="D185" s="14"/>
      <c r="E185" s="24"/>
    </row>
    <row r="186" spans="2:5" x14ac:dyDescent="0.25">
      <c r="B186" s="1">
        <v>0.2</v>
      </c>
      <c r="C186" s="15" t="s">
        <v>47</v>
      </c>
      <c r="D186" s="14"/>
      <c r="E186" s="24"/>
    </row>
    <row r="187" spans="2:5" x14ac:dyDescent="0.25">
      <c r="B187" s="1">
        <v>0.25</v>
      </c>
      <c r="C187" s="15" t="s">
        <v>48</v>
      </c>
      <c r="D187" s="14"/>
      <c r="E187" s="24"/>
    </row>
    <row r="188" spans="2:5" x14ac:dyDescent="0.25">
      <c r="B188" s="39">
        <f>FVSCHEDULE(B182,B183:B187)</f>
        <v>199237500</v>
      </c>
      <c r="C188" s="23" t="s">
        <v>42</v>
      </c>
      <c r="D188" s="14" t="str">
        <f ca="1">_xlfn.FORMULATEXT(B188)</f>
        <v>=VF.PLAN(B182;B183:B187)</v>
      </c>
      <c r="E188" s="24"/>
    </row>
  </sheetData>
  <mergeCells count="26">
    <mergeCell ref="A1:D1"/>
    <mergeCell ref="B3:D6"/>
    <mergeCell ref="C8:D8"/>
    <mergeCell ref="B11:D14"/>
    <mergeCell ref="B27:D31"/>
    <mergeCell ref="B9:D10"/>
    <mergeCell ref="C24:D24"/>
    <mergeCell ref="B25:D26"/>
    <mergeCell ref="B42:D43"/>
    <mergeCell ref="B92:D94"/>
    <mergeCell ref="B44:D48"/>
    <mergeCell ref="B61:D64"/>
    <mergeCell ref="B77:D79"/>
    <mergeCell ref="B176:D179"/>
    <mergeCell ref="B59:D60"/>
    <mergeCell ref="B75:D76"/>
    <mergeCell ref="B90:D91"/>
    <mergeCell ref="B105:D106"/>
    <mergeCell ref="B120:D121"/>
    <mergeCell ref="B138:D139"/>
    <mergeCell ref="B157:D158"/>
    <mergeCell ref="B174:D175"/>
    <mergeCell ref="B107:D109"/>
    <mergeCell ref="B122:D125"/>
    <mergeCell ref="B140:D143"/>
    <mergeCell ref="B159:D162"/>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3"/>
  <sheetViews>
    <sheetView showGridLines="0" tabSelected="1" zoomScale="193" zoomScaleNormal="160" workbookViewId="0">
      <pane ySplit="1" topLeftCell="A14" activePane="bottomLeft" state="frozen"/>
      <selection pane="bottomLeft" activeCell="C23" sqref="C23"/>
    </sheetView>
  </sheetViews>
  <sheetFormatPr baseColWidth="10" defaultRowHeight="13.8" x14ac:dyDescent="0.25"/>
  <cols>
    <col min="1" max="1" width="2.19921875" customWidth="1"/>
    <col min="2" max="2" width="19.69921875" customWidth="1"/>
    <col min="3" max="3" width="12.59765625" bestFit="1" customWidth="1"/>
    <col min="4" max="4" width="11.69921875" bestFit="1" customWidth="1"/>
    <col min="5" max="7" width="11.09765625" bestFit="1" customWidth="1"/>
    <col min="8" max="8" width="11.796875" bestFit="1" customWidth="1"/>
  </cols>
  <sheetData>
    <row r="1" spans="1:17" ht="22.95" customHeight="1" x14ac:dyDescent="0.25">
      <c r="A1" s="90" t="s">
        <v>150</v>
      </c>
      <c r="B1" s="90"/>
      <c r="C1" s="90"/>
      <c r="D1" s="90"/>
      <c r="E1" s="90"/>
      <c r="F1" s="90"/>
      <c r="G1" s="90"/>
      <c r="H1" s="90"/>
      <c r="Q1" s="20"/>
    </row>
    <row r="2" spans="1:17" ht="4.95" customHeight="1" x14ac:dyDescent="0.25"/>
    <row r="3" spans="1:17" ht="15" customHeight="1" x14ac:dyDescent="0.25">
      <c r="B3" s="91" t="s">
        <v>145</v>
      </c>
      <c r="C3" s="91"/>
      <c r="D3" s="91"/>
      <c r="E3" s="91"/>
      <c r="F3" s="91"/>
      <c r="G3" s="91"/>
      <c r="H3" s="91"/>
    </row>
    <row r="4" spans="1:17" ht="15" customHeight="1" x14ac:dyDescent="0.25">
      <c r="B4" s="91"/>
      <c r="C4" s="91"/>
      <c r="D4" s="91"/>
      <c r="E4" s="91"/>
      <c r="F4" s="91"/>
      <c r="G4" s="91"/>
      <c r="H4" s="91"/>
    </row>
    <row r="5" spans="1:17" ht="15" customHeight="1" x14ac:dyDescent="0.25">
      <c r="B5" s="91"/>
      <c r="C5" s="91"/>
      <c r="D5" s="91"/>
      <c r="E5" s="91"/>
      <c r="F5" s="91"/>
      <c r="G5" s="91"/>
      <c r="H5" s="91"/>
    </row>
    <row r="6" spans="1:17" ht="15" customHeight="1" x14ac:dyDescent="0.25">
      <c r="B6" s="91"/>
      <c r="C6" s="91"/>
      <c r="D6" s="91"/>
      <c r="E6" s="91"/>
      <c r="F6" s="91"/>
      <c r="G6" s="91"/>
      <c r="H6" s="91"/>
    </row>
    <row r="7" spans="1:17" ht="15" customHeight="1" x14ac:dyDescent="0.25">
      <c r="B7" s="91"/>
      <c r="C7" s="91"/>
      <c r="D7" s="91"/>
      <c r="E7" s="91"/>
      <c r="F7" s="91"/>
      <c r="G7" s="91"/>
      <c r="H7" s="91"/>
    </row>
    <row r="8" spans="1:17" ht="5.55" customHeight="1" x14ac:dyDescent="0.25"/>
    <row r="9" spans="1:17" ht="19.8" thickBot="1" x14ac:dyDescent="0.4">
      <c r="B9" s="89" t="s">
        <v>49</v>
      </c>
      <c r="C9" s="89"/>
      <c r="D9" s="89"/>
      <c r="E9" s="89"/>
      <c r="F9" s="89"/>
      <c r="G9" s="89"/>
      <c r="H9" s="89"/>
    </row>
    <row r="10" spans="1:17" ht="14.4" thickTop="1" x14ac:dyDescent="0.25">
      <c r="C10" s="16">
        <v>0</v>
      </c>
      <c r="D10" s="16">
        <v>1</v>
      </c>
      <c r="E10" s="16">
        <v>2</v>
      </c>
      <c r="F10" s="16">
        <v>3</v>
      </c>
      <c r="G10" s="16">
        <v>4</v>
      </c>
      <c r="H10" s="16">
        <v>5</v>
      </c>
    </row>
    <row r="11" spans="1:17" x14ac:dyDescent="0.25">
      <c r="B11" s="27" t="s">
        <v>50</v>
      </c>
      <c r="C11" s="17">
        <v>-100000000</v>
      </c>
      <c r="D11" s="17">
        <v>20000000</v>
      </c>
      <c r="E11" s="17">
        <v>35000000</v>
      </c>
      <c r="F11" s="17">
        <v>40000000</v>
      </c>
      <c r="G11" s="17">
        <v>45000000</v>
      </c>
      <c r="H11" s="17">
        <v>55000000</v>
      </c>
    </row>
    <row r="12" spans="1:17" x14ac:dyDescent="0.25">
      <c r="B12" s="22" t="s">
        <v>51</v>
      </c>
      <c r="C12" s="2">
        <v>0.17</v>
      </c>
      <c r="D12" s="17" t="s">
        <v>52</v>
      </c>
      <c r="E12" s="17"/>
      <c r="F12" s="17"/>
      <c r="G12" s="17"/>
      <c r="H12" s="17"/>
    </row>
    <row r="13" spans="1:17" x14ac:dyDescent="0.25">
      <c r="B13" s="22" t="s">
        <v>53</v>
      </c>
      <c r="C13" s="46">
        <f>NPV(C12,D11:H11)+C11</f>
        <v>16737179.186225966</v>
      </c>
      <c r="D13" s="26" t="s">
        <v>54</v>
      </c>
      <c r="E13" s="18" t="str">
        <f ca="1">_xlfn.FORMULATEXT(C13)</f>
        <v>=VNA(C12;D11:H11)+C11</v>
      </c>
      <c r="F13" s="18"/>
      <c r="G13" s="18"/>
      <c r="H13" s="18"/>
    </row>
    <row r="14" spans="1:17" x14ac:dyDescent="0.25">
      <c r="B14" s="22" t="s">
        <v>55</v>
      </c>
      <c r="C14" s="35">
        <f>IRR(C11:H11)</f>
        <v>0.23035037652162238</v>
      </c>
      <c r="D14" s="26" t="s">
        <v>56</v>
      </c>
      <c r="E14" s="18" t="str">
        <f t="shared" ref="E14:E15" ca="1" si="0">_xlfn.FORMULATEXT(C14)</f>
        <v>=TIR(C11:H11)</v>
      </c>
      <c r="F14" s="18"/>
      <c r="G14" s="18"/>
      <c r="H14" s="18"/>
    </row>
    <row r="15" spans="1:17" x14ac:dyDescent="0.25">
      <c r="B15" s="22" t="s">
        <v>144</v>
      </c>
      <c r="C15" s="35">
        <f>MIRR(C11:H11,C12,C12)</f>
        <v>0.20677887945055873</v>
      </c>
      <c r="D15" s="26" t="s">
        <v>104</v>
      </c>
      <c r="E15" s="18" t="str">
        <f t="shared" ca="1" si="0"/>
        <v>=TIRM(C11:H11;C12;C12)</v>
      </c>
      <c r="F15" s="18"/>
      <c r="G15" s="18"/>
      <c r="H15" s="18"/>
    </row>
    <row r="16" spans="1:17" x14ac:dyDescent="0.25">
      <c r="B16" s="22"/>
      <c r="C16" s="37"/>
      <c r="D16" s="18"/>
      <c r="E16" s="18"/>
      <c r="F16" s="18"/>
      <c r="G16" s="18"/>
    </row>
    <row r="17" spans="2:8" x14ac:dyDescent="0.25">
      <c r="B17" s="22"/>
      <c r="C17" s="18"/>
      <c r="D17" s="18"/>
      <c r="E17" s="18"/>
      <c r="F17" s="18"/>
      <c r="G17" s="18"/>
      <c r="H17" s="18"/>
    </row>
    <row r="18" spans="2:8" ht="19.8" thickBot="1" x14ac:dyDescent="0.4">
      <c r="B18" s="89" t="s">
        <v>57</v>
      </c>
      <c r="C18" s="89"/>
      <c r="D18" s="89"/>
      <c r="E18" s="89"/>
      <c r="F18" s="89"/>
      <c r="G18" s="89"/>
      <c r="H18" s="89"/>
    </row>
    <row r="19" spans="2:8" ht="14.4" thickTop="1" x14ac:dyDescent="0.25">
      <c r="C19" s="19">
        <v>44928</v>
      </c>
      <c r="D19" s="19">
        <v>45458</v>
      </c>
      <c r="E19" s="19">
        <v>46022</v>
      </c>
      <c r="F19" s="19">
        <v>46188</v>
      </c>
      <c r="G19" s="19">
        <v>46752</v>
      </c>
      <c r="H19" s="19">
        <v>46919</v>
      </c>
    </row>
    <row r="20" spans="2:8" x14ac:dyDescent="0.25">
      <c r="B20" s="27" t="s">
        <v>50</v>
      </c>
      <c r="C20" s="17">
        <v>-100000000</v>
      </c>
      <c r="D20" s="17">
        <v>20000000</v>
      </c>
      <c r="E20" s="17">
        <v>35000000</v>
      </c>
      <c r="F20" s="17">
        <v>40000000</v>
      </c>
      <c r="G20" s="17">
        <v>45000000</v>
      </c>
      <c r="H20" s="17">
        <v>55000000</v>
      </c>
    </row>
    <row r="21" spans="2:8" x14ac:dyDescent="0.25">
      <c r="B21" s="22" t="s">
        <v>51</v>
      </c>
      <c r="C21" s="2">
        <v>0.17</v>
      </c>
      <c r="D21" s="17" t="s">
        <v>52</v>
      </c>
      <c r="E21" s="17"/>
      <c r="F21" s="17"/>
      <c r="G21" s="17"/>
      <c r="H21" s="17"/>
    </row>
    <row r="22" spans="2:8" x14ac:dyDescent="0.25">
      <c r="B22" s="22" t="s">
        <v>53</v>
      </c>
      <c r="C22" s="46">
        <f>XNPV(C21,C20:H20,C19:H19)</f>
        <v>4940041.8873719536</v>
      </c>
      <c r="D22" s="26" t="s">
        <v>58</v>
      </c>
      <c r="E22" s="18"/>
      <c r="F22" s="18"/>
      <c r="G22" s="18"/>
      <c r="H22" s="18"/>
    </row>
    <row r="23" spans="2:8" x14ac:dyDescent="0.25">
      <c r="B23" s="22" t="s">
        <v>55</v>
      </c>
      <c r="C23" s="35">
        <f>XIRR(C20:H20,C19:H19)</f>
        <v>0.18498089909553533</v>
      </c>
      <c r="D23" s="26" t="s">
        <v>59</v>
      </c>
      <c r="E23" s="18"/>
      <c r="F23" s="18"/>
      <c r="G23" s="18"/>
      <c r="H23" s="18"/>
    </row>
  </sheetData>
  <mergeCells count="4">
    <mergeCell ref="B9:H9"/>
    <mergeCell ref="B18:H18"/>
    <mergeCell ref="A1:H1"/>
    <mergeCell ref="B3:H7"/>
  </mergeCells>
  <phoneticPr fontId="15" type="noConversion"/>
  <pageMargins left="0.25" right="0.25"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40DE2-2B26-4804-9BE5-E810AC632E0C}">
  <dimension ref="A1:I35"/>
  <sheetViews>
    <sheetView workbookViewId="0">
      <selection activeCell="D24" sqref="D24"/>
    </sheetView>
  </sheetViews>
  <sheetFormatPr baseColWidth="10" defaultRowHeight="13.8" x14ac:dyDescent="0.25"/>
  <cols>
    <col min="1" max="1" width="21.796875" customWidth="1"/>
    <col min="2" max="2" width="14.69921875" customWidth="1"/>
    <col min="3" max="3" width="12.5" customWidth="1"/>
    <col min="5" max="5" width="12.19921875" customWidth="1"/>
    <col min="7" max="7" width="13.5" bestFit="1" customWidth="1"/>
    <col min="8" max="8" width="11.796875" customWidth="1"/>
    <col min="9" max="9" width="13.5" bestFit="1" customWidth="1"/>
  </cols>
  <sheetData>
    <row r="1" spans="1:9" ht="20.399999999999999" x14ac:dyDescent="0.25">
      <c r="A1" s="92" t="s">
        <v>176</v>
      </c>
      <c r="B1" s="92"/>
      <c r="C1" s="92"/>
      <c r="D1" s="92"/>
      <c r="E1" s="92"/>
      <c r="F1" s="92"/>
      <c r="G1" s="92"/>
      <c r="H1" s="92"/>
      <c r="I1" s="92"/>
    </row>
    <row r="2" spans="1:9" ht="7.2" customHeight="1" x14ac:dyDescent="0.25"/>
    <row r="3" spans="1:9" ht="17.55" customHeight="1" x14ac:dyDescent="0.25">
      <c r="A3" s="51" t="s">
        <v>177</v>
      </c>
      <c r="B3" s="51"/>
      <c r="C3" s="52"/>
      <c r="D3" s="52"/>
      <c r="E3" s="52"/>
      <c r="F3" s="52"/>
      <c r="G3" s="52"/>
      <c r="H3" s="52"/>
      <c r="I3" s="52"/>
    </row>
    <row r="4" spans="1:9" ht="13.95" customHeight="1" x14ac:dyDescent="0.25">
      <c r="A4" s="51" t="s">
        <v>178</v>
      </c>
      <c r="B4" s="51"/>
      <c r="C4" s="51"/>
      <c r="D4" s="51"/>
      <c r="E4" s="51"/>
      <c r="F4" s="51"/>
      <c r="G4" s="51"/>
      <c r="H4" s="51"/>
      <c r="I4" s="51"/>
    </row>
    <row r="5" spans="1:9" ht="17.55" customHeight="1" x14ac:dyDescent="0.25">
      <c r="A5" s="51" t="s">
        <v>179</v>
      </c>
      <c r="B5" s="51"/>
      <c r="C5" s="51"/>
      <c r="D5" s="51"/>
      <c r="E5" s="51"/>
      <c r="F5" s="51"/>
      <c r="G5" s="51"/>
      <c r="H5" s="51"/>
      <c r="I5" s="51"/>
    </row>
    <row r="6" spans="1:9" ht="9" customHeight="1" x14ac:dyDescent="0.25"/>
    <row r="7" spans="1:9" x14ac:dyDescent="0.25">
      <c r="A7" s="93" t="s">
        <v>180</v>
      </c>
      <c r="B7" s="93"/>
      <c r="D7" s="94" t="s">
        <v>181</v>
      </c>
      <c r="E7" s="94"/>
      <c r="F7" s="95" t="s">
        <v>182</v>
      </c>
      <c r="G7" s="95"/>
      <c r="H7" s="96" t="s">
        <v>183</v>
      </c>
      <c r="I7" s="96"/>
    </row>
    <row r="8" spans="1:9" x14ac:dyDescent="0.25">
      <c r="A8" s="53" t="s">
        <v>100</v>
      </c>
      <c r="B8" s="24">
        <v>10000</v>
      </c>
      <c r="C8" s="54"/>
      <c r="D8" s="55"/>
      <c r="E8" s="56"/>
      <c r="F8" s="55"/>
      <c r="G8" s="56"/>
      <c r="H8" s="55"/>
      <c r="I8" s="56"/>
    </row>
    <row r="9" spans="1:9" x14ac:dyDescent="0.25">
      <c r="A9" s="53" t="s">
        <v>184</v>
      </c>
      <c r="B9" s="24">
        <v>4500</v>
      </c>
      <c r="C9" s="57"/>
      <c r="E9" s="58"/>
      <c r="F9" s="59"/>
      <c r="G9" s="58"/>
      <c r="H9" s="59"/>
      <c r="I9" s="58"/>
    </row>
    <row r="10" spans="1:9" ht="15" customHeight="1" x14ac:dyDescent="0.25">
      <c r="A10" s="53" t="s">
        <v>185</v>
      </c>
      <c r="B10" s="60">
        <v>4000</v>
      </c>
      <c r="C10" t="s">
        <v>186</v>
      </c>
      <c r="E10" s="58"/>
      <c r="F10" s="59"/>
      <c r="G10" s="58"/>
      <c r="H10" s="59"/>
      <c r="I10" s="58"/>
    </row>
    <row r="11" spans="1:9" x14ac:dyDescent="0.25">
      <c r="A11" s="53" t="s">
        <v>187</v>
      </c>
      <c r="B11" s="24">
        <v>12000000</v>
      </c>
      <c r="C11" t="s">
        <v>186</v>
      </c>
      <c r="E11" s="58"/>
      <c r="F11" s="59"/>
      <c r="G11" s="58"/>
      <c r="H11" s="59"/>
      <c r="I11" s="58"/>
    </row>
    <row r="12" spans="1:9" x14ac:dyDescent="0.25">
      <c r="A12" s="53" t="s">
        <v>102</v>
      </c>
      <c r="B12" s="1">
        <v>0.05</v>
      </c>
      <c r="C12" t="s">
        <v>188</v>
      </c>
      <c r="E12" s="61"/>
      <c r="F12" s="59"/>
      <c r="G12" s="61"/>
      <c r="H12" s="59"/>
      <c r="I12" s="58"/>
    </row>
    <row r="13" spans="1:9" x14ac:dyDescent="0.25">
      <c r="A13" s="53" t="s">
        <v>189</v>
      </c>
      <c r="B13" s="24">
        <v>1000000</v>
      </c>
      <c r="C13" t="s">
        <v>186</v>
      </c>
      <c r="E13" s="58"/>
      <c r="F13" s="59"/>
      <c r="G13" s="61"/>
      <c r="H13" s="59"/>
      <c r="I13" s="58"/>
    </row>
    <row r="14" spans="1:9" x14ac:dyDescent="0.25">
      <c r="A14" s="53" t="s">
        <v>101</v>
      </c>
      <c r="B14" s="1">
        <v>0.35</v>
      </c>
      <c r="E14" s="58"/>
      <c r="F14" s="59"/>
      <c r="G14" s="58"/>
      <c r="H14" s="59"/>
      <c r="I14" s="61"/>
    </row>
    <row r="15" spans="1:9" x14ac:dyDescent="0.25">
      <c r="E15" s="58"/>
      <c r="F15" s="59"/>
      <c r="G15" s="58"/>
      <c r="H15" s="59"/>
      <c r="I15" s="58"/>
    </row>
    <row r="16" spans="1:9" x14ac:dyDescent="0.25">
      <c r="A16" s="93" t="s">
        <v>190</v>
      </c>
      <c r="B16" s="93"/>
      <c r="E16" s="58"/>
      <c r="F16" s="59"/>
      <c r="G16" s="58"/>
      <c r="H16" s="59"/>
      <c r="I16" s="58"/>
    </row>
    <row r="17" spans="1:9" x14ac:dyDescent="0.25">
      <c r="A17" s="22" t="s">
        <v>191</v>
      </c>
      <c r="B17" s="62"/>
      <c r="E17" s="58"/>
      <c r="F17" s="59"/>
      <c r="G17" s="58"/>
      <c r="H17" s="59"/>
      <c r="I17" s="58"/>
    </row>
    <row r="18" spans="1:9" x14ac:dyDescent="0.25">
      <c r="A18" s="22" t="s">
        <v>192</v>
      </c>
      <c r="B18" s="62"/>
      <c r="E18" s="58"/>
      <c r="F18" s="59"/>
      <c r="G18" s="58"/>
      <c r="H18" s="59"/>
      <c r="I18" s="58"/>
    </row>
    <row r="19" spans="1:9" x14ac:dyDescent="0.25">
      <c r="A19" s="22" t="s">
        <v>193</v>
      </c>
      <c r="B19" s="62"/>
      <c r="E19" s="63"/>
      <c r="F19" s="59"/>
      <c r="G19" s="63"/>
      <c r="H19" s="59"/>
      <c r="I19" s="63"/>
    </row>
    <row r="20" spans="1:9" x14ac:dyDescent="0.25">
      <c r="A20" s="22" t="s">
        <v>194</v>
      </c>
      <c r="B20" s="62"/>
      <c r="E20" s="63"/>
      <c r="F20" s="59"/>
      <c r="G20" s="63"/>
      <c r="H20" s="59"/>
      <c r="I20" s="63"/>
    </row>
    <row r="21" spans="1:9" x14ac:dyDescent="0.25">
      <c r="A21" s="22" t="s">
        <v>195</v>
      </c>
      <c r="B21" s="62"/>
      <c r="E21" s="63"/>
      <c r="F21" s="59"/>
      <c r="G21" s="14"/>
      <c r="H21" s="59"/>
      <c r="I21" s="14"/>
    </row>
    <row r="22" spans="1:9" x14ac:dyDescent="0.25">
      <c r="A22" s="22" t="s">
        <v>196</v>
      </c>
      <c r="B22" s="62"/>
      <c r="H22" s="59"/>
    </row>
    <row r="23" spans="1:9" x14ac:dyDescent="0.25">
      <c r="A23" s="22" t="s">
        <v>197</v>
      </c>
      <c r="B23" s="62"/>
      <c r="D23" s="64"/>
      <c r="E23" s="64"/>
      <c r="F23" s="64"/>
      <c r="G23" s="64"/>
      <c r="H23" s="65"/>
      <c r="I23" s="65"/>
    </row>
    <row r="24" spans="1:9" x14ac:dyDescent="0.25">
      <c r="A24" s="22" t="s">
        <v>198</v>
      </c>
      <c r="B24" s="62"/>
      <c r="E24" s="66"/>
      <c r="G24" s="66"/>
      <c r="H24" s="59"/>
      <c r="I24" s="66"/>
    </row>
    <row r="25" spans="1:9" ht="14.4" thickBot="1" x14ac:dyDescent="0.3">
      <c r="A25" s="22" t="s">
        <v>199</v>
      </c>
      <c r="B25" s="67"/>
      <c r="H25" s="59"/>
    </row>
    <row r="26" spans="1:9" ht="14.4" thickBot="1" x14ac:dyDescent="0.3">
      <c r="A26" s="68" t="s">
        <v>200</v>
      </c>
      <c r="B26" s="69"/>
      <c r="H26" s="59"/>
    </row>
    <row r="27" spans="1:9" x14ac:dyDescent="0.25">
      <c r="C27" s="70"/>
    </row>
    <row r="28" spans="1:9" x14ac:dyDescent="0.25">
      <c r="A28" s="71" t="s">
        <v>201</v>
      </c>
      <c r="B28" s="34"/>
    </row>
    <row r="29" spans="1:9" x14ac:dyDescent="0.25">
      <c r="A29" s="71" t="s">
        <v>202</v>
      </c>
      <c r="B29" s="34"/>
    </row>
    <row r="30" spans="1:9" x14ac:dyDescent="0.25">
      <c r="A30" s="71" t="s">
        <v>203</v>
      </c>
      <c r="B30" s="34"/>
    </row>
    <row r="31" spans="1:9" x14ac:dyDescent="0.25">
      <c r="A31" s="72" t="s">
        <v>148</v>
      </c>
      <c r="B31" s="70"/>
    </row>
    <row r="32" spans="1:9" x14ac:dyDescent="0.25">
      <c r="A32" s="73" t="s">
        <v>204</v>
      </c>
      <c r="B32" s="70"/>
    </row>
    <row r="33" spans="1:2" x14ac:dyDescent="0.25">
      <c r="A33" s="71"/>
      <c r="B33" s="74"/>
    </row>
    <row r="34" spans="1:2" x14ac:dyDescent="0.25">
      <c r="A34" s="71"/>
      <c r="B34" s="74"/>
    </row>
    <row r="35" spans="1:2" x14ac:dyDescent="0.25">
      <c r="A35" s="71"/>
      <c r="B35" s="74"/>
    </row>
  </sheetData>
  <mergeCells count="6">
    <mergeCell ref="A16:B16"/>
    <mergeCell ref="A1:I1"/>
    <mergeCell ref="A7:B7"/>
    <mergeCell ref="D7:E7"/>
    <mergeCell ref="F7:G7"/>
    <mergeCell ref="H7:I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ListaFórmulasFinancieras</vt:lpstr>
      <vt:lpstr>VDT</vt:lpstr>
      <vt:lpstr>FEL</vt:lpstr>
      <vt:lpstr>análisisHipótesis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DELL</cp:lastModifiedBy>
  <cp:lastPrinted>2020-05-27T22:34:35Z</cp:lastPrinted>
  <dcterms:created xsi:type="dcterms:W3CDTF">2018-10-24T20:48:01Z</dcterms:created>
  <dcterms:modified xsi:type="dcterms:W3CDTF">2026-10-03T18:09:50Z</dcterms:modified>
</cp:coreProperties>
</file>