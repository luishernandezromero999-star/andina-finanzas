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E75B8153-AA4E-49ED-ABE4-9EE6A85AB334}" xr6:coauthVersionLast="47" xr6:coauthVersionMax="47" xr10:uidLastSave="{00000000-0000-0000-0000-000000000000}"/>
  <bookViews>
    <workbookView xWindow="-108" yWindow="-108" windowWidth="23256" windowHeight="12456"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1" i="1" l="1"/>
  <c r="D82" i="1"/>
  <c r="D83" i="1"/>
  <c r="D80" i="1" s="1"/>
  <c r="C80" i="1"/>
  <c r="C83" i="1"/>
  <c r="C82" i="1"/>
  <c r="C81" i="1"/>
  <c r="D35" i="1"/>
  <c r="D36" i="1"/>
  <c r="D37" i="1"/>
  <c r="C35" i="1"/>
  <c r="C37" i="1"/>
  <c r="C36" i="1"/>
  <c r="D78" i="1"/>
  <c r="D77" i="1" s="1"/>
  <c r="D79" i="1"/>
  <c r="C77" i="1"/>
  <c r="C79" i="1"/>
  <c r="C78" i="1"/>
  <c r="C70" i="1"/>
  <c r="D72" i="1"/>
  <c r="D71" i="1" s="1"/>
  <c r="D73" i="1"/>
  <c r="C72" i="1"/>
  <c r="C71" i="1" s="1"/>
  <c r="C73" i="1"/>
  <c r="D66" i="1"/>
  <c r="D65" i="1" s="1"/>
  <c r="D67" i="1"/>
  <c r="C65" i="1"/>
  <c r="C67" i="1"/>
  <c r="C66" i="1"/>
  <c r="D55" i="1"/>
  <c r="D54" i="1" s="1"/>
  <c r="D56" i="1"/>
  <c r="C54" i="1"/>
  <c r="C56" i="1"/>
  <c r="C55" i="1"/>
  <c r="D51" i="1"/>
  <c r="D52" i="1"/>
  <c r="D53" i="1"/>
  <c r="C51" i="1"/>
  <c r="C53" i="1"/>
  <c r="C52" i="1"/>
  <c r="D48" i="1"/>
  <c r="D49" i="1"/>
  <c r="D50" i="1"/>
  <c r="C48" i="1"/>
  <c r="C50" i="1"/>
  <c r="C49" i="1"/>
  <c r="D9" i="1"/>
  <c r="C9" i="1"/>
  <c r="D10" i="1"/>
  <c r="C10" i="1"/>
  <c r="D11" i="1"/>
  <c r="C11" i="1"/>
  <c r="D6" i="1"/>
  <c r="C6" i="1"/>
  <c r="D8" i="1"/>
  <c r="C8" i="1"/>
  <c r="D7" i="1"/>
  <c r="C7" i="1"/>
  <c r="D116" i="1"/>
  <c r="C116" i="1"/>
  <c r="D114" i="1"/>
  <c r="C114" i="1"/>
  <c r="C113" i="1"/>
  <c r="D112" i="1"/>
  <c r="C112" i="1"/>
  <c r="D111" i="1"/>
  <c r="C111" i="1"/>
  <c r="D109" i="1"/>
  <c r="C109" i="1"/>
  <c r="D107" i="1"/>
  <c r="C107" i="1"/>
  <c r="D106" i="1"/>
  <c r="C106" i="1"/>
  <c r="D103" i="1"/>
  <c r="C103" i="1"/>
  <c r="D105" i="1"/>
  <c r="D104" i="1"/>
  <c r="C105" i="1"/>
  <c r="C104" i="1"/>
  <c r="G130" i="1"/>
  <c r="F130" i="1"/>
  <c r="E130" i="1"/>
  <c r="G131" i="1" l="1"/>
  <c r="G132" i="1"/>
  <c r="G133" i="1"/>
  <c r="G134" i="1"/>
  <c r="G135" i="1"/>
  <c r="G136" i="1"/>
  <c r="G138" i="1"/>
  <c r="G139" i="1"/>
  <c r="G140" i="1"/>
  <c r="G141" i="1"/>
  <c r="G142" i="1"/>
  <c r="G143" i="1"/>
  <c r="G144" i="1"/>
  <c r="G145" i="1"/>
  <c r="G146" i="1"/>
  <c r="G147" i="1"/>
  <c r="G148" i="1"/>
  <c r="F131" i="1"/>
  <c r="F132" i="1"/>
  <c r="F133" i="1"/>
  <c r="F134" i="1"/>
  <c r="F135" i="1"/>
  <c r="F136" i="1"/>
  <c r="F138" i="1"/>
  <c r="F139" i="1"/>
  <c r="F140" i="1"/>
  <c r="F141" i="1"/>
  <c r="F142" i="1"/>
  <c r="F143" i="1"/>
  <c r="F144" i="1"/>
  <c r="F145" i="1"/>
  <c r="F146" i="1"/>
  <c r="F147" i="1"/>
  <c r="F148" i="1"/>
  <c r="E131" i="1"/>
  <c r="E132" i="1"/>
  <c r="E133" i="1"/>
  <c r="E134" i="1"/>
  <c r="E135" i="1"/>
  <c r="E136" i="1"/>
  <c r="E138" i="1"/>
  <c r="E139" i="1"/>
  <c r="E140" i="1"/>
  <c r="E141" i="1"/>
  <c r="E142" i="1"/>
  <c r="E143" i="1"/>
  <c r="E144" i="1"/>
  <c r="E145" i="1"/>
  <c r="E146" i="1"/>
  <c r="E147" i="1"/>
  <c r="E148" i="1"/>
  <c r="G153" i="1"/>
  <c r="F153" i="1"/>
  <c r="F154" i="1"/>
  <c r="G154" i="1" s="1"/>
  <c r="F155" i="1"/>
  <c r="G155" i="1"/>
  <c r="F156" i="1"/>
  <c r="G156" i="1"/>
  <c r="F158" i="1"/>
  <c r="G158" i="1"/>
  <c r="F159" i="1"/>
  <c r="G159" i="1"/>
  <c r="F160" i="1"/>
  <c r="G160" i="1"/>
  <c r="F161" i="1"/>
  <c r="G161" i="1"/>
  <c r="F162" i="1"/>
  <c r="G162" i="1"/>
  <c r="F163" i="1"/>
  <c r="G163" i="1"/>
  <c r="F164" i="1"/>
  <c r="G164" i="1"/>
  <c r="F165" i="1"/>
  <c r="G165" i="1"/>
  <c r="E153" i="1"/>
  <c r="E154" i="1"/>
  <c r="E155" i="1"/>
  <c r="E156" i="1"/>
  <c r="E157" i="1"/>
  <c r="E158" i="1"/>
  <c r="E160" i="1"/>
  <c r="E161" i="1"/>
  <c r="E162" i="1"/>
  <c r="E163" i="1"/>
  <c r="E164" i="1"/>
  <c r="E165" i="1"/>
  <c r="C135" i="1"/>
  <c r="D135" i="1"/>
  <c r="D159" i="1" l="1"/>
  <c r="C159" i="1"/>
  <c r="E15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6" authorId="0" shapeId="0" xr:uid="{E2CDFC18-D765-42F1-9689-4CE1C8277AC0}">
      <text>
        <r>
          <rPr>
            <b/>
            <sz val="10"/>
            <color indexed="81"/>
            <rFont val="Tahoma"/>
            <charset val="1"/>
          </rPr>
          <t xml:space="preserve">Indicador de solvencia, no de liquidez
</t>
        </r>
      </text>
    </comment>
    <comment ref="B104" authorId="0" shapeId="0" xr:uid="{CA16120A-5555-4264-AC33-60B7AAA2758C}">
      <text>
        <r>
          <rPr>
            <b/>
            <sz val="10"/>
            <color indexed="81"/>
            <rFont val="Tahoma"/>
            <charset val="1"/>
          </rPr>
          <t>DELL:</t>
        </r>
        <r>
          <rPr>
            <sz val="10"/>
            <color indexed="81"/>
            <rFont val="Tahoma"/>
            <charset val="1"/>
          </rPr>
          <t xml:space="preserve">
NATURALEZA DE UN AÑO
</t>
        </r>
      </text>
    </comment>
    <comment ref="B111" authorId="0" shapeId="0" xr:uid="{4EFE2B40-384A-4397-808B-EEB8439DA850}">
      <text>
        <r>
          <rPr>
            <b/>
            <sz val="10"/>
            <color indexed="81"/>
            <rFont val="Tahoma"/>
            <charset val="1"/>
          </rPr>
          <t>DELL:</t>
        </r>
        <r>
          <rPr>
            <sz val="10"/>
            <color indexed="81"/>
            <rFont val="Tahoma"/>
            <charset val="1"/>
          </rPr>
          <t xml:space="preserve">
Hay que mirar el movimiento del dinero , no necesariamente es efectivo en el banco </t>
        </r>
      </text>
    </comment>
    <comment ref="B113" authorId="0" shapeId="0" xr:uid="{8864D961-E6B6-418E-B37B-7724055ACF5E}">
      <text>
        <r>
          <rPr>
            <b/>
            <sz val="10"/>
            <color indexed="81"/>
            <rFont val="Tahoma"/>
            <charset val="1"/>
          </rPr>
          <t>DELL:</t>
        </r>
        <r>
          <rPr>
            <sz val="10"/>
            <color indexed="81"/>
            <rFont val="Tahoma"/>
            <charset val="1"/>
          </rPr>
          <t xml:space="preserve">
Es aceptable cuando esta comenzando la empresa. Es muy importante, buscar volverlo positivo</t>
        </r>
      </text>
    </comment>
    <comment ref="B114" authorId="0" shapeId="0" xr:uid="{53C8114E-5414-412B-A506-4908523AD584}">
      <text>
        <r>
          <rPr>
            <b/>
            <sz val="10"/>
            <color indexed="81"/>
            <rFont val="Tahoma"/>
            <charset val="1"/>
          </rPr>
          <t xml:space="preserve">Retorno sobre cápital invertido
</t>
        </r>
      </text>
    </comment>
    <comment ref="B115" authorId="0" shapeId="0" xr:uid="{2283B014-3123-4817-9000-A2E52692B697}">
      <text>
        <r>
          <rPr>
            <b/>
            <sz val="10"/>
            <color indexed="81"/>
            <rFont val="Tahoma"/>
            <charset val="1"/>
          </rPr>
          <t xml:space="preserve">cuantos esperas los dueños de la empresa  en retorno
</t>
        </r>
      </text>
    </comment>
  </commentList>
</comments>
</file>

<file path=xl/sharedStrings.xml><?xml version="1.0" encoding="utf-8"?>
<sst xmlns="http://schemas.openxmlformats.org/spreadsheetml/2006/main" count="185" uniqueCount="146">
  <si>
    <t>MicroDrive Inc.: balances generales al 31 de diciembre (millones de dólares)</t>
  </si>
  <si>
    <t>Efectivo y equivalentes</t>
  </si>
  <si>
    <t xml:space="preserve"> Cuentas por pagar</t>
  </si>
  <si>
    <t>Inversiones a corto plazo</t>
  </si>
  <si>
    <t xml:space="preserve"> Documentos por pagar</t>
  </si>
  <si>
    <t>Cuentas por cobrar</t>
  </si>
  <si>
    <t xml:space="preserve"> Acumulaciones</t>
  </si>
  <si>
    <t>Inventarios</t>
  </si>
  <si>
    <t xml:space="preserve"> Total pasivo circulante</t>
  </si>
  <si>
    <t>Total activo circulante</t>
  </si>
  <si>
    <t xml:space="preserve"> Bonos a largo plazo</t>
  </si>
  <si>
    <t>Planta y equipo netos</t>
  </si>
  <si>
    <t xml:space="preserve"> Total pasivo</t>
  </si>
  <si>
    <t>Acciones preferentes  (400 000)</t>
  </si>
  <si>
    <t>Acciones comunes  (50 000 000)</t>
  </si>
  <si>
    <t>Utilidades retenidas</t>
  </si>
  <si>
    <t>Total capital contable</t>
  </si>
  <si>
    <t>Total activo</t>
  </si>
  <si>
    <t xml:space="preserve"> Total pasivo y capital</t>
  </si>
  <si>
    <t>Ventas netas</t>
  </si>
  <si>
    <t>Costos de operación  excluidas la depreciación y la amortización</t>
  </si>
  <si>
    <t>Utilidades antes de intereses impuestos  depreciación y amortización (UAIIDA)</t>
  </si>
  <si>
    <t>Depreciación</t>
  </si>
  <si>
    <t>Amortización</t>
  </si>
  <si>
    <t>Depreciación y amortización</t>
  </si>
  <si>
    <t>Utilidades antes de intereses e impuestos (UAII  o utilidad de operación)</t>
  </si>
  <si>
    <t>Menos intereses</t>
  </si>
  <si>
    <t>Utilidades antes de impuestos (UAI)</t>
  </si>
  <si>
    <t>Impuestos (40%)</t>
  </si>
  <si>
    <t>Utilidad neto antes de dividendos preferentes</t>
  </si>
  <si>
    <t>Dividendos preferentes</t>
  </si>
  <si>
    <t>Utilidad neta</t>
  </si>
  <si>
    <t>Dividendos comunes</t>
  </si>
  <si>
    <t>Adición a utilidades retenidas</t>
  </si>
  <si>
    <t>Datos por acción</t>
  </si>
  <si>
    <t>Precio de acción común</t>
  </si>
  <si>
    <t>Utilidades por acción (UPA)a</t>
  </si>
  <si>
    <t>Dividendos por acción (DPA) a</t>
  </si>
  <si>
    <t>Valor en libros por acción (VLPA) a</t>
  </si>
  <si>
    <t>Flujo de efectivo por acción (FEPA)a</t>
  </si>
  <si>
    <t>Actividades de operación</t>
  </si>
  <si>
    <t>Utilidad neta antes de dividendos preferentes</t>
  </si>
  <si>
    <t>Ajustes:</t>
  </si>
  <si>
    <t>Ajustes no en efectivo:</t>
  </si>
  <si>
    <t>Debidos a cambios del capital de trabajo:</t>
  </si>
  <si>
    <t>Aumento de las cuentas por cobrar</t>
  </si>
  <si>
    <t>Aumento de inventarios</t>
  </si>
  <si>
    <t>Aumento de las cuentas por pagar</t>
  </si>
  <si>
    <t>Aumento de las acumulaciones</t>
  </si>
  <si>
    <t>Efectivo neto procedente de las operaciones</t>
  </si>
  <si>
    <t>Actividades de inversión a largo plazo</t>
  </si>
  <si>
    <t>Efectivo destinado a adquirir activo fijo</t>
  </si>
  <si>
    <t>Actividades financieras</t>
  </si>
  <si>
    <t>Venta de inversiones a corto plazo</t>
  </si>
  <si>
    <t>Aumento de los documentos por pagar</t>
  </si>
  <si>
    <t>Aumento de los bonos en circulación</t>
  </si>
  <si>
    <t>Pago de dividendos de acciones preferentes y comunes</t>
  </si>
  <si>
    <t>Efectivo neto procedente de actividades financieras</t>
  </si>
  <si>
    <t>Resumen</t>
  </si>
  <si>
    <t>Cambio neto de efectivo</t>
  </si>
  <si>
    <t>Efectivo al inicio del año</t>
  </si>
  <si>
    <t>Efectivo al final del año</t>
  </si>
  <si>
    <t>Razón del circulante</t>
  </si>
  <si>
    <t>Promedio de la industria</t>
  </si>
  <si>
    <t>Razón de rotación de inventario</t>
  </si>
  <si>
    <t>Razón de rotación del activo fijo</t>
  </si>
  <si>
    <t>Razón de rotación del activo total</t>
  </si>
  <si>
    <t>Endeudamiento</t>
  </si>
  <si>
    <t>Razón de cobertura de intereses (RCI)</t>
  </si>
  <si>
    <t>Margen neto</t>
  </si>
  <si>
    <t>Razón del poder adquisitivo básico (PAB)</t>
  </si>
  <si>
    <t>Rendimiento sobre el activo (ROA)</t>
  </si>
  <si>
    <t>Razones del Mercado de Valores</t>
  </si>
  <si>
    <t>Razón de precio/utilidades (P/U)</t>
  </si>
  <si>
    <t>Precio/flujo de efectivo</t>
  </si>
  <si>
    <t>Razón de valor de mercado a valor en libros</t>
  </si>
  <si>
    <t>Multiplicador de patrimonio</t>
  </si>
  <si>
    <t>La ecuación de DuPont</t>
  </si>
  <si>
    <t>veces</t>
  </si>
  <si>
    <t>días</t>
  </si>
  <si>
    <t>Interpretación</t>
  </si>
  <si>
    <t>Ponderación %</t>
  </si>
  <si>
    <t>Vertical</t>
  </si>
  <si>
    <t>Horizontal</t>
  </si>
  <si>
    <t>Absoluto</t>
  </si>
  <si>
    <t>Relativo%</t>
  </si>
  <si>
    <t xml:space="preserve"> (millones de dólares  exceptuados los datos por acción)</t>
  </si>
  <si>
    <t>MicroDrive Inc.: Estados de resultados correspondientes a los años que terminen el 31 de diciembre</t>
  </si>
  <si>
    <t>Nombre Completo</t>
  </si>
  <si>
    <t>Activo corriente</t>
  </si>
  <si>
    <t>Pasivo corriente</t>
  </si>
  <si>
    <t>Razón rápida o prueba ácida</t>
  </si>
  <si>
    <t>Activo corriente - inventario</t>
  </si>
  <si>
    <t>Indicadores de Liquidez o Solvencia</t>
  </si>
  <si>
    <t>Indicadores de Eficiencia o Actividad</t>
  </si>
  <si>
    <t>Costo de venta</t>
  </si>
  <si>
    <t>Inventario</t>
  </si>
  <si>
    <t>Ventas diarias promedio</t>
  </si>
  <si>
    <t>Edad Promedio de Inventarios EPI</t>
  </si>
  <si>
    <t>Periodo promedio de cobranza PPC</t>
  </si>
  <si>
    <t>Periodo promedio de pago PPP</t>
  </si>
  <si>
    <t>Rotación de la cuentas por pagar</t>
  </si>
  <si>
    <t>Cuentas por pagar</t>
  </si>
  <si>
    <t>cuentas por pagar + acumulaciones</t>
  </si>
  <si>
    <t>Ciclo de conversión de efectivo CCE=EPI+PPC-PPP</t>
  </si>
  <si>
    <t>Ventas</t>
  </si>
  <si>
    <t>Activos fijos</t>
  </si>
  <si>
    <t>Activos totales</t>
  </si>
  <si>
    <t>Razón de pasivo o nivel de endeudamiento</t>
  </si>
  <si>
    <t>Pasivo total</t>
  </si>
  <si>
    <t>Activo total</t>
  </si>
  <si>
    <t>Gastos financieros</t>
  </si>
  <si>
    <t>Ganancia Operacional UAII</t>
  </si>
  <si>
    <t>Patrimonio o capital común total</t>
  </si>
  <si>
    <t>Indicadores de Rentabilidad</t>
  </si>
  <si>
    <t>Ganancia neta</t>
  </si>
  <si>
    <t>Rendimiento sobre el capital social (ROE)</t>
  </si>
  <si>
    <t>Rotación del activo total</t>
  </si>
  <si>
    <t>Multiplicador del patrimonio</t>
  </si>
  <si>
    <t># de acciones comunes</t>
  </si>
  <si>
    <t>pasivo corriente operativo</t>
  </si>
  <si>
    <t>Análisis del capital de trabajo y el EVA</t>
  </si>
  <si>
    <t>Activo corriente operativo-</t>
  </si>
  <si>
    <t>Capital de trabajo neto KTN</t>
  </si>
  <si>
    <t>Capita fijo operativo KFO</t>
  </si>
  <si>
    <t>Capital operativo total KOT=KTN+KFO</t>
  </si>
  <si>
    <t>Inversión neta (cambio del KOT)</t>
  </si>
  <si>
    <r>
      <t>Flujo de efectivo neto</t>
    </r>
    <r>
      <rPr>
        <b/>
        <sz val="8"/>
        <color theme="1"/>
        <rFont val="Calibri"/>
        <family val="2"/>
        <scheme val="minor"/>
      </rPr>
      <t>=(utilidad neta + depreciación)</t>
    </r>
  </si>
  <si>
    <t>UONDI=UAII*(1-tax)</t>
  </si>
  <si>
    <t>ROIC, return over invested capital</t>
  </si>
  <si>
    <t>CPPC=WACC</t>
  </si>
  <si>
    <t>EVA, Economic Value Added</t>
  </si>
  <si>
    <t>Margen EBITDA</t>
  </si>
  <si>
    <t>EBITDA</t>
  </si>
  <si>
    <t>Flujo de Efectivo Libre FEL</t>
  </si>
  <si>
    <t>Estados Financieros de Micro Drive Inc.</t>
  </si>
  <si>
    <t>Ganancia Operacional =UAII=EBIT</t>
  </si>
  <si>
    <t>Absoluta</t>
  </si>
  <si>
    <t>Relativa</t>
  </si>
  <si>
    <t>Taller _Diagnóstico y Análisis financiero MicroDrive Inc.</t>
  </si>
  <si>
    <t>MicroDrive Incorporated: estado de flujos de efectivo en 2024 (millones de dólares)</t>
  </si>
  <si>
    <t>uso</t>
  </si>
  <si>
    <t>fuente</t>
  </si>
  <si>
    <t xml:space="preserve"> El FEL fue de -170 millones debido a que el la uondi fue solo de 170 mm y las demandas de inversión neta fueron de 345 mm, esto indica que la empresa debió endeudarse durante el periodo a cubrir sus necesidades de efectivo.                 El retorno del capital fue solo de 9,5% en el último año, es decir 170/1800 de capital total, y el retorno esperado, WACC era del 11%, es decir, se presentó un spread de valor negativo en 1,5% por esto la empresa generó destrucción de valor esperado en 27,7 mm</t>
  </si>
  <si>
    <t>La razón del circulante fue de 3,2 veces en el año 2024, es decir, que por cada peso que la empresa tenía en obligaciones corto plazo, la empresa contó con 3,2 pesos para cubrir esas obligaciones, pero fue ligeramente inferior a sus pares de la industria que presentaron 4,2 veces este indicador.
La prueba ácida indica que por cada peso que la empresa tenía de obligaciones corto plazo en 2024 la empresa contó con 1,2 pesos en activos corrientes sin considerar el inventario, cifra también inferior a los pares de la industria que presentaron 2,1 veces.</t>
  </si>
  <si>
    <t>El nivel de endeudamiento muestra un nivel de 53%, es decir, que la midad de lo activos está en manos de terceros, cifra ligeramente superior a los pares de la industria que presentan el 40%.
La cobertura de intereses fue de 3,2 veces, es decir que por cada peso que se tiene en gasto financiero se contaban con 3,2 pesos para cubrir con ganancias en el mismo periodo, esta cifra fue inferior a sus pares de la industria.
el multiplicar del patrimonio muestra que los dueños del capital contaron con 2,2 veces de activos en relación a el patrimonio invertido.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</si>
</sst>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1" formatCode="_-* #,##0_-;\-* #,##0_-;_-* &quot;-&quot;_-;_-@_-"/>
    <numFmt numFmtId="164" formatCode="_-* #,##0.0_-;\-* #,##0.0_-;_-* &quot;-&quot;_-;_-@_-"/>
    <numFmt numFmtId="165" formatCode="0.0%"/>
    <numFmt numFmtId="166" formatCode="0.0"/>
    <numFmt numFmtId="167" formatCode="_-* #,##0.00_-;\-* #,##0.00_-;_-* &quot;-&quot;_-;_-@_-"/>
    <numFmt numFmtId="168" formatCode="&quot;$&quot;\ #,##0.0"/>
    <numFmt numFmtId="169" formatCode="[$-F800]dddd\,\ mmmm\ dd\,\ yyyy"/>
    <numFmt numFmtId="170" formatCode="_-* #,##0.0_-;\-* #,##0.0_-;_-* &quot;-&quot;?_-;_-@_-"/>
    <numFmt numFmtId="171" formatCode="#,##0\ &quot;días&quot;"/>
  </numFmts>
  <fonts count="23" x14ac:knownFonts="1">
    <font>
      <sz val="11"/>
      <color theme="1"/>
      <name val="Calibri"/>
      <family val="2"/>
      <scheme val="minor"/>
    </font>
    <font>
      <sz val="11"/>
      <color theme="1"/>
      <name val="Calibri"/>
      <family val="2"/>
      <scheme val="minor"/>
    </font>
    <font>
      <sz val="11"/>
      <color theme="0"/>
      <name val="Calibri"/>
      <family val="2"/>
      <scheme val="minor"/>
    </font>
    <font>
      <i/>
      <sz val="10"/>
      <color theme="0"/>
      <name val="Calibri"/>
      <family val="2"/>
      <scheme val="minor"/>
    </font>
    <font>
      <sz val="9"/>
      <color theme="1"/>
      <name val="Calibri"/>
      <family val="2"/>
      <scheme val="minor"/>
    </font>
    <font>
      <b/>
      <sz val="11"/>
      <name val="Calibri"/>
      <family val="2"/>
      <scheme val="minor"/>
    </font>
    <font>
      <sz val="10"/>
      <color theme="0"/>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b/>
      <i/>
      <sz val="10"/>
      <color theme="0"/>
      <name val="Calibri"/>
      <family val="2"/>
      <scheme val="minor"/>
    </font>
    <font>
      <i/>
      <sz val="10"/>
      <color theme="1"/>
      <name val="Calibri"/>
      <family val="2"/>
      <scheme val="minor"/>
    </font>
    <font>
      <sz val="10"/>
      <name val="Calibri"/>
      <family val="2"/>
      <scheme val="minor"/>
    </font>
    <font>
      <sz val="14"/>
      <color theme="0"/>
      <name val="Calibri"/>
      <family val="2"/>
      <scheme val="minor"/>
    </font>
    <font>
      <sz val="8"/>
      <color theme="1"/>
      <name val="Calibri"/>
      <family val="2"/>
      <scheme val="minor"/>
    </font>
    <font>
      <sz val="12"/>
      <color theme="0"/>
      <name val="Calibri"/>
      <family val="2"/>
      <scheme val="minor"/>
    </font>
    <font>
      <b/>
      <sz val="11"/>
      <color theme="1"/>
      <name val="Freestyle Script"/>
      <family val="4"/>
    </font>
    <font>
      <b/>
      <sz val="12"/>
      <color theme="1"/>
      <name val="Freestyle Script"/>
      <family val="4"/>
    </font>
    <font>
      <b/>
      <sz val="8"/>
      <color theme="1"/>
      <name val="Calibri"/>
      <family val="2"/>
      <scheme val="minor"/>
    </font>
    <font>
      <i/>
      <sz val="9"/>
      <color theme="1"/>
      <name val="Calibri"/>
      <family val="2"/>
      <scheme val="minor"/>
    </font>
    <font>
      <b/>
      <i/>
      <sz val="9"/>
      <color theme="0"/>
      <name val="Calibri"/>
      <family val="2"/>
      <scheme val="minor"/>
    </font>
    <font>
      <sz val="10"/>
      <color indexed="81"/>
      <name val="Tahoma"/>
      <charset val="1"/>
    </font>
    <font>
      <b/>
      <sz val="10"/>
      <color indexed="81"/>
      <name val="Tahoma"/>
      <charset val="1"/>
    </font>
  </fonts>
  <fills count="23">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1"/>
        <bgColor indexed="64"/>
      </patternFill>
    </fill>
    <fill>
      <patternFill patternType="solid">
        <fgColor theme="8" tint="-0.49998474074526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rgb="FFFFFFCC"/>
      </patternFill>
    </fill>
    <fill>
      <patternFill patternType="solid">
        <fgColor theme="4" tint="0.39997558519241921"/>
        <bgColor indexed="65"/>
      </patternFill>
    </fill>
    <fill>
      <patternFill patternType="solid">
        <fgColor theme="4"/>
      </patternFill>
    </fill>
    <fill>
      <patternFill patternType="solid">
        <fgColor rgb="FF002060"/>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9" tint="0.39997558519241921"/>
        <bgColor indexed="64"/>
      </patternFill>
    </fill>
  </fills>
  <borders count="13">
    <border>
      <left/>
      <right/>
      <top/>
      <bottom/>
      <diagonal/>
    </border>
    <border>
      <left/>
      <right/>
      <top/>
      <bottom style="medium">
        <color indexed="64"/>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style="thin">
        <color rgb="FFB2B2B2"/>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2B2B2"/>
      </left>
      <right style="thin">
        <color rgb="FFB2B2B2"/>
      </right>
      <top/>
      <bottom style="thin">
        <color rgb="FFB2B2B2"/>
      </bottom>
      <diagonal/>
    </border>
    <border>
      <left style="thin">
        <color rgb="FFB2B2B2"/>
      </left>
      <right style="thin">
        <color rgb="FFB2B2B2"/>
      </right>
      <top style="thin">
        <color rgb="FFB2B2B2"/>
      </top>
      <bottom style="thin">
        <color indexed="64"/>
      </bottom>
      <diagonal/>
    </border>
    <border>
      <left/>
      <right/>
      <top style="thin">
        <color indexed="64"/>
      </top>
      <bottom style="thin">
        <color indexed="64"/>
      </bottom>
      <diagonal/>
    </border>
    <border>
      <left style="thin">
        <color rgb="FFB2B2B2"/>
      </left>
      <right style="thin">
        <color rgb="FFB2B2B2"/>
      </right>
      <top style="thin">
        <color indexed="64"/>
      </top>
      <bottom style="thin">
        <color indexed="64"/>
      </bottom>
      <diagonal/>
    </border>
    <border>
      <left style="thin">
        <color rgb="FFB2B2B2"/>
      </left>
      <right style="thin">
        <color rgb="FFB2B2B2"/>
      </right>
      <top/>
      <bottom style="thin">
        <color indexed="64"/>
      </bottom>
      <diagonal/>
    </border>
  </borders>
  <cellStyleXfs count="12">
    <xf numFmtId="0" fontId="0" fillId="0" borderId="0"/>
    <xf numFmtId="0" fontId="1" fillId="2" borderId="0" applyNumberFormat="0" applyBorder="0" applyAlignment="0" applyProtection="0"/>
    <xf numFmtId="0" fontId="1" fillId="3" borderId="0" applyNumberFormat="0" applyBorder="0" applyAlignment="0" applyProtection="0"/>
    <xf numFmtId="0" fontId="2"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2" fillId="7" borderId="0" applyNumberFormat="0" applyBorder="0" applyAlignment="0" applyProtection="0"/>
    <xf numFmtId="41" fontId="1" fillId="0" borderId="0" applyFont="0" applyFill="0" applyBorder="0" applyAlignment="0" applyProtection="0"/>
    <xf numFmtId="9" fontId="1" fillId="0" borderId="0" applyFont="0" applyFill="0" applyBorder="0" applyAlignment="0" applyProtection="0"/>
    <xf numFmtId="0" fontId="1" fillId="13" borderId="3" applyNumberFormat="0" applyFont="0" applyAlignment="0" applyProtection="0"/>
    <xf numFmtId="0" fontId="1" fillId="14" borderId="0" applyNumberFormat="0" applyBorder="0" applyAlignment="0" applyProtection="0"/>
    <xf numFmtId="0" fontId="2" fillId="15" borderId="0" applyNumberFormat="0" applyBorder="0" applyAlignment="0" applyProtection="0"/>
  </cellStyleXfs>
  <cellXfs count="112">
    <xf numFmtId="0" fontId="0" fillId="0" borderId="0" xfId="0"/>
    <xf numFmtId="0" fontId="4" fillId="0" borderId="2" xfId="0" applyFont="1" applyBorder="1" applyAlignment="1">
      <alignment horizontal="center"/>
    </xf>
    <xf numFmtId="0" fontId="2" fillId="7" borderId="4" xfId="6" applyBorder="1" applyAlignment="1">
      <alignment horizontal="right"/>
    </xf>
    <xf numFmtId="0" fontId="6" fillId="10" borderId="0" xfId="0" applyFont="1" applyFill="1" applyAlignment="1">
      <alignment horizontal="center" vertical="center"/>
    </xf>
    <xf numFmtId="0" fontId="7" fillId="0" borderId="0" xfId="0" applyFont="1"/>
    <xf numFmtId="0" fontId="7" fillId="0" borderId="0" xfId="0" applyFont="1" applyAlignment="1">
      <alignment horizontal="right"/>
    </xf>
    <xf numFmtId="166" fontId="7" fillId="0" borderId="0" xfId="0" applyNumberFormat="1" applyFont="1"/>
    <xf numFmtId="0" fontId="7" fillId="14" borderId="0" xfId="10" applyFont="1" applyBorder="1" applyAlignment="1">
      <alignment horizontal="left"/>
    </xf>
    <xf numFmtId="0" fontId="6" fillId="9" borderId="0" xfId="0" applyFont="1" applyFill="1" applyAlignment="1">
      <alignment horizontal="center" vertical="center"/>
    </xf>
    <xf numFmtId="165" fontId="7" fillId="0" borderId="0" xfId="0" applyNumberFormat="1" applyFont="1"/>
    <xf numFmtId="164" fontId="7" fillId="0" borderId="0" xfId="7" applyNumberFormat="1" applyFont="1"/>
    <xf numFmtId="0" fontId="7" fillId="16" borderId="0" xfId="0" applyFont="1" applyFill="1"/>
    <xf numFmtId="0" fontId="6" fillId="15" borderId="0" xfId="11" applyFont="1" applyAlignment="1">
      <alignment horizontal="center"/>
    </xf>
    <xf numFmtId="0" fontId="7" fillId="14" borderId="0" xfId="10" applyFont="1" applyAlignment="1">
      <alignment horizontal="center"/>
    </xf>
    <xf numFmtId="0" fontId="6" fillId="9" borderId="2" xfId="0" applyFont="1" applyFill="1" applyBorder="1" applyAlignment="1">
      <alignment horizontal="right"/>
    </xf>
    <xf numFmtId="0" fontId="6" fillId="9" borderId="2" xfId="0" applyFont="1" applyFill="1" applyBorder="1" applyAlignment="1">
      <alignment horizontal="center" vertical="center"/>
    </xf>
    <xf numFmtId="0" fontId="7" fillId="11" borderId="2" xfId="0" applyFont="1" applyFill="1" applyBorder="1" applyAlignment="1">
      <alignment horizontal="center" vertical="center"/>
    </xf>
    <xf numFmtId="0" fontId="7" fillId="0" borderId="1" xfId="1" applyFont="1" applyFill="1" applyBorder="1" applyAlignment="1">
      <alignment horizontal="right"/>
    </xf>
    <xf numFmtId="41" fontId="7" fillId="0" borderId="1" xfId="7" applyFont="1" applyFill="1" applyBorder="1"/>
    <xf numFmtId="0" fontId="9" fillId="8" borderId="1" xfId="2" applyFont="1" applyFill="1" applyBorder="1" applyAlignment="1">
      <alignment horizontal="right"/>
    </xf>
    <xf numFmtId="41" fontId="9" fillId="8" borderId="1" xfId="7" applyFont="1" applyFill="1" applyBorder="1"/>
    <xf numFmtId="41" fontId="7" fillId="0" borderId="0" xfId="7" applyFont="1" applyFill="1"/>
    <xf numFmtId="0" fontId="7" fillId="8" borderId="1" xfId="1" applyFont="1" applyFill="1" applyBorder="1" applyAlignment="1">
      <alignment horizontal="right"/>
    </xf>
    <xf numFmtId="41" fontId="7" fillId="8" borderId="1" xfId="7" applyFont="1" applyFill="1" applyBorder="1"/>
    <xf numFmtId="0" fontId="10" fillId="9" borderId="0" xfId="0" applyFont="1" applyFill="1" applyAlignment="1">
      <alignment wrapText="1"/>
    </xf>
    <xf numFmtId="0" fontId="7" fillId="14" borderId="0" xfId="10" applyFont="1" applyAlignment="1"/>
    <xf numFmtId="0" fontId="7" fillId="0" borderId="0" xfId="0" applyFont="1" applyAlignment="1">
      <alignment horizontal="right" wrapText="1"/>
    </xf>
    <xf numFmtId="164" fontId="7" fillId="0" borderId="0" xfId="7" applyNumberFormat="1" applyFont="1" applyFill="1" applyBorder="1" applyAlignment="1">
      <alignment vertical="center"/>
    </xf>
    <xf numFmtId="0" fontId="7" fillId="0" borderId="0" xfId="5" applyFont="1" applyFill="1" applyBorder="1" applyAlignment="1">
      <alignment horizontal="right" wrapText="1"/>
    </xf>
    <xf numFmtId="164" fontId="7" fillId="0" borderId="0" xfId="7" applyNumberFormat="1" applyFont="1" applyFill="1" applyBorder="1"/>
    <xf numFmtId="0" fontId="11" fillId="0" borderId="0" xfId="0" applyFont="1" applyAlignment="1">
      <alignment horizontal="right" wrapText="1"/>
    </xf>
    <xf numFmtId="167" fontId="7" fillId="0" borderId="0" xfId="7" applyNumberFormat="1" applyFont="1" applyFill="1" applyBorder="1"/>
    <xf numFmtId="0" fontId="9" fillId="0" borderId="1" xfId="0" applyFont="1" applyBorder="1"/>
    <xf numFmtId="168" fontId="9" fillId="0" borderId="1" xfId="0" applyNumberFormat="1" applyFont="1" applyBorder="1" applyAlignment="1">
      <alignment horizontal="right"/>
    </xf>
    <xf numFmtId="168" fontId="7" fillId="0" borderId="0" xfId="0" applyNumberFormat="1" applyFont="1" applyAlignment="1">
      <alignment horizontal="right"/>
    </xf>
    <xf numFmtId="0" fontId="11" fillId="0" borderId="0" xfId="0" applyFont="1" applyAlignment="1">
      <alignment horizontal="right"/>
    </xf>
    <xf numFmtId="0" fontId="9" fillId="8" borderId="1" xfId="5" applyFont="1" applyFill="1" applyBorder="1"/>
    <xf numFmtId="168" fontId="9" fillId="8" borderId="1" xfId="5" applyNumberFormat="1" applyFont="1" applyFill="1" applyBorder="1" applyAlignment="1">
      <alignment horizontal="right"/>
    </xf>
    <xf numFmtId="168" fontId="12" fillId="0" borderId="0" xfId="0" applyNumberFormat="1" applyFont="1" applyAlignment="1">
      <alignment horizontal="right"/>
    </xf>
    <xf numFmtId="0" fontId="9" fillId="8" borderId="1" xfId="5" applyFont="1" applyFill="1" applyBorder="1" applyAlignment="1">
      <alignment horizontal="right"/>
    </xf>
    <xf numFmtId="0" fontId="12" fillId="12" borderId="0" xfId="3" applyFont="1" applyFill="1" applyAlignment="1">
      <alignment horizontal="right"/>
    </xf>
    <xf numFmtId="0" fontId="12" fillId="12" borderId="0" xfId="0" applyFont="1" applyFill="1" applyAlignment="1">
      <alignment horizontal="right"/>
    </xf>
    <xf numFmtId="168" fontId="7" fillId="0" borderId="0" xfId="7" applyNumberFormat="1" applyFont="1" applyAlignment="1">
      <alignment horizontal="right"/>
    </xf>
    <xf numFmtId="0" fontId="7" fillId="18" borderId="0" xfId="0" applyFont="1" applyFill="1" applyAlignment="1">
      <alignment horizontal="right"/>
    </xf>
    <xf numFmtId="41" fontId="7" fillId="18" borderId="0" xfId="7" applyFont="1" applyFill="1"/>
    <xf numFmtId="0" fontId="7" fillId="19" borderId="0" xfId="0" applyFont="1" applyFill="1" applyAlignment="1">
      <alignment horizontal="right"/>
    </xf>
    <xf numFmtId="41" fontId="7" fillId="19" borderId="0" xfId="7" applyFont="1" applyFill="1"/>
    <xf numFmtId="0" fontId="9" fillId="20" borderId="1" xfId="1" applyFont="1" applyFill="1" applyBorder="1" applyAlignment="1">
      <alignment horizontal="right"/>
    </xf>
    <xf numFmtId="41" fontId="9" fillId="20" borderId="1" xfId="7" applyFont="1" applyFill="1" applyBorder="1"/>
    <xf numFmtId="0" fontId="7" fillId="21" borderId="0" xfId="0" applyFont="1" applyFill="1" applyAlignment="1">
      <alignment horizontal="right"/>
    </xf>
    <xf numFmtId="41" fontId="7" fillId="21" borderId="0" xfId="7" applyFont="1" applyFill="1"/>
    <xf numFmtId="0" fontId="7" fillId="21" borderId="1" xfId="1" applyFont="1" applyFill="1" applyBorder="1" applyAlignment="1">
      <alignment horizontal="right"/>
    </xf>
    <xf numFmtId="41" fontId="7" fillId="21" borderId="1" xfId="7" applyFont="1" applyFill="1" applyBorder="1"/>
    <xf numFmtId="165" fontId="7" fillId="0" borderId="0" xfId="8" applyNumberFormat="1" applyFont="1"/>
    <xf numFmtId="164" fontId="7" fillId="0" borderId="0" xfId="8" applyNumberFormat="1" applyFont="1"/>
    <xf numFmtId="170" fontId="7" fillId="0" borderId="0" xfId="0" applyNumberFormat="1" applyFont="1"/>
    <xf numFmtId="0" fontId="9" fillId="22" borderId="0" xfId="2" applyFont="1" applyFill="1" applyBorder="1" applyAlignment="1">
      <alignment horizontal="right" wrapText="1"/>
    </xf>
    <xf numFmtId="164" fontId="9" fillId="22" borderId="0" xfId="7" applyNumberFormat="1" applyFont="1" applyFill="1" applyBorder="1"/>
    <xf numFmtId="0" fontId="7" fillId="22" borderId="0" xfId="0" applyFont="1" applyFill="1" applyAlignment="1">
      <alignment horizontal="right" wrapText="1"/>
    </xf>
    <xf numFmtId="164" fontId="7" fillId="22" borderId="0" xfId="7" applyNumberFormat="1" applyFont="1" applyFill="1" applyBorder="1" applyAlignment="1">
      <alignment vertical="center"/>
    </xf>
    <xf numFmtId="0" fontId="9" fillId="22" borderId="0" xfId="0" applyFont="1" applyFill="1" applyAlignment="1">
      <alignment horizontal="right" wrapText="1"/>
    </xf>
    <xf numFmtId="164" fontId="9" fillId="22" borderId="0" xfId="7" applyNumberFormat="1" applyFont="1" applyFill="1" applyBorder="1" applyAlignment="1">
      <alignment vertical="center"/>
    </xf>
    <xf numFmtId="0" fontId="7" fillId="21" borderId="0" xfId="0" applyFont="1" applyFill="1" applyAlignment="1">
      <alignment horizontal="right" wrapText="1"/>
    </xf>
    <xf numFmtId="164" fontId="7" fillId="21" borderId="0" xfId="7" applyNumberFormat="1" applyFont="1" applyFill="1" applyBorder="1" applyAlignment="1">
      <alignment vertical="center"/>
    </xf>
    <xf numFmtId="0" fontId="7" fillId="21" borderId="1" xfId="0" applyFont="1" applyFill="1" applyBorder="1" applyAlignment="1">
      <alignment horizontal="right" wrapText="1"/>
    </xf>
    <xf numFmtId="164" fontId="7" fillId="21" borderId="1" xfId="7" applyNumberFormat="1" applyFont="1" applyFill="1" applyBorder="1" applyAlignment="1">
      <alignment vertical="center"/>
    </xf>
    <xf numFmtId="0" fontId="9" fillId="21" borderId="1" xfId="4" applyFont="1" applyFill="1" applyBorder="1" applyAlignment="1">
      <alignment horizontal="right" wrapText="1"/>
    </xf>
    <xf numFmtId="164" fontId="9" fillId="21" borderId="1" xfId="7" applyNumberFormat="1" applyFont="1" applyFill="1" applyBorder="1" applyAlignment="1">
      <alignment vertical="center"/>
    </xf>
    <xf numFmtId="164" fontId="7" fillId="13" borderId="3" xfId="7" applyNumberFormat="1" applyFont="1" applyFill="1" applyBorder="1"/>
    <xf numFmtId="0" fontId="16" fillId="0" borderId="2" xfId="0" applyFont="1" applyBorder="1" applyAlignment="1">
      <alignment horizontal="right"/>
    </xf>
    <xf numFmtId="41" fontId="16" fillId="13" borderId="9" xfId="7" applyFont="1" applyFill="1" applyBorder="1"/>
    <xf numFmtId="0" fontId="16" fillId="0" borderId="0" xfId="0" applyFont="1" applyAlignment="1">
      <alignment horizontal="right"/>
    </xf>
    <xf numFmtId="41" fontId="16" fillId="13" borderId="8" xfId="7" applyFont="1" applyFill="1" applyBorder="1"/>
    <xf numFmtId="0" fontId="9" fillId="0" borderId="0" xfId="0" applyFont="1" applyAlignment="1">
      <alignment horizontal="right"/>
    </xf>
    <xf numFmtId="164" fontId="9" fillId="13" borderId="3" xfId="7" applyNumberFormat="1" applyFont="1" applyFill="1" applyBorder="1"/>
    <xf numFmtId="164" fontId="16" fillId="13" borderId="8" xfId="7" applyNumberFormat="1" applyFont="1" applyFill="1" applyBorder="1"/>
    <xf numFmtId="171" fontId="9" fillId="13" borderId="3" xfId="7" applyNumberFormat="1" applyFont="1" applyFill="1" applyBorder="1"/>
    <xf numFmtId="41" fontId="9" fillId="13" borderId="3" xfId="7" applyFont="1" applyFill="1" applyBorder="1"/>
    <xf numFmtId="171" fontId="7" fillId="0" borderId="0" xfId="0" applyNumberFormat="1" applyFont="1"/>
    <xf numFmtId="41" fontId="7" fillId="0" borderId="0" xfId="7" applyFont="1"/>
    <xf numFmtId="164" fontId="16" fillId="13" borderId="9" xfId="7" applyNumberFormat="1" applyFont="1" applyFill="1" applyBorder="1"/>
    <xf numFmtId="166" fontId="9" fillId="0" borderId="0" xfId="0" applyNumberFormat="1" applyFont="1"/>
    <xf numFmtId="0" fontId="9" fillId="0" borderId="0" xfId="0" applyFont="1"/>
    <xf numFmtId="165" fontId="9" fillId="13" borderId="3" xfId="8" applyNumberFormat="1" applyFont="1" applyFill="1" applyBorder="1"/>
    <xf numFmtId="9" fontId="9" fillId="13" borderId="3" xfId="8" applyFont="1" applyFill="1" applyBorder="1"/>
    <xf numFmtId="164" fontId="9" fillId="21" borderId="0" xfId="7" applyNumberFormat="1" applyFont="1" applyFill="1" applyBorder="1" applyAlignment="1">
      <alignment vertical="center"/>
    </xf>
    <xf numFmtId="165" fontId="16" fillId="13" borderId="9" xfId="8" applyNumberFormat="1" applyFont="1" applyFill="1" applyBorder="1"/>
    <xf numFmtId="0" fontId="17" fillId="0" borderId="0" xfId="0" applyFont="1" applyAlignment="1">
      <alignment horizontal="right"/>
    </xf>
    <xf numFmtId="0" fontId="9" fillId="0" borderId="10" xfId="0" applyFont="1" applyBorder="1" applyAlignment="1">
      <alignment horizontal="right"/>
    </xf>
    <xf numFmtId="41" fontId="9" fillId="13" borderId="11" xfId="9" applyNumberFormat="1" applyFont="1" applyBorder="1" applyAlignment="1">
      <alignment horizontal="right"/>
    </xf>
    <xf numFmtId="0" fontId="17" fillId="0" borderId="2" xfId="0" applyFont="1" applyBorder="1" applyAlignment="1">
      <alignment horizontal="right"/>
    </xf>
    <xf numFmtId="41" fontId="16" fillId="13" borderId="12" xfId="7" applyFont="1" applyFill="1" applyBorder="1"/>
    <xf numFmtId="164" fontId="9" fillId="13" borderId="11" xfId="9" applyNumberFormat="1" applyFont="1" applyBorder="1" applyAlignment="1">
      <alignment horizontal="right"/>
    </xf>
    <xf numFmtId="165" fontId="9" fillId="13" borderId="11" xfId="8" applyNumberFormat="1" applyFont="1" applyFill="1" applyBorder="1" applyAlignment="1">
      <alignment horizontal="right"/>
    </xf>
    <xf numFmtId="165" fontId="0" fillId="0" borderId="10" xfId="8" applyNumberFormat="1" applyFont="1" applyBorder="1"/>
    <xf numFmtId="164" fontId="9" fillId="13" borderId="11" xfId="9" applyNumberFormat="1" applyFont="1" applyBorder="1" applyAlignment="1">
      <alignment horizontal="left"/>
    </xf>
    <xf numFmtId="0" fontId="19" fillId="0" borderId="0" xfId="0" applyFont="1" applyAlignment="1">
      <alignment horizontal="right" wrapText="1"/>
    </xf>
    <xf numFmtId="0" fontId="20" fillId="9" borderId="0" xfId="0" applyFont="1" applyFill="1" applyAlignment="1">
      <alignment horizontal="right" wrapText="1"/>
    </xf>
    <xf numFmtId="9" fontId="7" fillId="0" borderId="0" xfId="8" applyFont="1"/>
    <xf numFmtId="0" fontId="5" fillId="13" borderId="5" xfId="9" applyFont="1" applyBorder="1" applyAlignment="1">
      <alignment horizontal="left" vertical="top"/>
    </xf>
    <xf numFmtId="0" fontId="5" fillId="13" borderId="6" xfId="9" applyFont="1" applyBorder="1" applyAlignment="1">
      <alignment horizontal="left" vertical="top"/>
    </xf>
    <xf numFmtId="0" fontId="5" fillId="13" borderId="7" xfId="9" applyFont="1" applyBorder="1" applyAlignment="1">
      <alignment horizontal="left" vertical="top"/>
    </xf>
    <xf numFmtId="169" fontId="13" fillId="17" borderId="0" xfId="6" applyNumberFormat="1" applyFont="1" applyFill="1" applyAlignment="1">
      <alignment horizontal="center" vertical="top"/>
    </xf>
    <xf numFmtId="0" fontId="6" fillId="9" borderId="0" xfId="0" applyFont="1" applyFill="1" applyAlignment="1">
      <alignment horizontal="center"/>
    </xf>
    <xf numFmtId="0" fontId="15" fillId="9" borderId="0" xfId="6" applyFont="1" applyFill="1" applyAlignment="1">
      <alignment horizontal="center" vertical="top"/>
    </xf>
    <xf numFmtId="0" fontId="6" fillId="7" borderId="0" xfId="6" applyFont="1"/>
    <xf numFmtId="0" fontId="14" fillId="13" borderId="3" xfId="9" applyFont="1" applyAlignment="1">
      <alignment horizontal="left" vertical="top" wrapText="1"/>
    </xf>
    <xf numFmtId="0" fontId="3" fillId="9" borderId="0" xfId="0" applyFont="1" applyFill="1" applyAlignment="1">
      <alignment horizontal="center"/>
    </xf>
    <xf numFmtId="0" fontId="8" fillId="16" borderId="0" xfId="0" applyFont="1" applyFill="1" applyAlignment="1">
      <alignment horizontal="left" vertical="center"/>
    </xf>
    <xf numFmtId="0" fontId="10" fillId="9" borderId="0" xfId="0" applyFont="1" applyFill="1" applyAlignment="1">
      <alignment wrapText="1"/>
    </xf>
    <xf numFmtId="0" fontId="7" fillId="14" borderId="0" xfId="10" applyFont="1" applyAlignment="1">
      <alignment horizontal="center"/>
    </xf>
    <xf numFmtId="0" fontId="4" fillId="13" borderId="3" xfId="9" applyFont="1" applyAlignment="1">
      <alignment horizontal="left" vertical="top" wrapText="1"/>
    </xf>
  </cellXfs>
  <cellStyles count="12">
    <cellStyle name="20% - Énfasis1" xfId="1" builtinId="30"/>
    <cellStyle name="20% - Énfasis2" xfId="4" builtinId="34"/>
    <cellStyle name="40% - Énfasis1" xfId="2" builtinId="31"/>
    <cellStyle name="40% - Énfasis2" xfId="5" builtinId="35"/>
    <cellStyle name="60% - Énfasis1" xfId="10" builtinId="32"/>
    <cellStyle name="Énfasis1" xfId="11" builtinId="29"/>
    <cellStyle name="Énfasis2" xfId="3" builtinId="33"/>
    <cellStyle name="Énfasis5" xfId="6" builtinId="45"/>
    <cellStyle name="Millares [0]" xfId="7" builtinId="6"/>
    <cellStyle name="Normal" xfId="0" builtinId="0"/>
    <cellStyle name="Notas" xfId="9" builtinId="10"/>
    <cellStyle name="Porcentaje" xfId="8" builtinId="5"/>
  </cellStyles>
  <dxfs count="0"/>
  <tableStyles count="1" defaultTableStyle="TableStyleMedium2" defaultPivotStyle="PivotStyleLight16">
    <tableStyle name="Invisible" pivot="0" table="0" count="0" xr9:uid="{A7A0B7A0-4448-4B19-BF8C-C6995921BD8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showGridLines="0" tabSelected="1" topLeftCell="A66" zoomScale="97" zoomScaleNormal="97" workbookViewId="0">
      <selection activeCell="C79" sqref="C79"/>
    </sheetView>
  </sheetViews>
  <sheetFormatPr baseColWidth="10" defaultRowHeight="14.4" x14ac:dyDescent="0.3"/>
  <cols>
    <col min="1" max="1" width="1.77734375" customWidth="1"/>
    <col min="2" max="2" width="40.21875" customWidth="1"/>
    <col min="3" max="3" width="11.44140625" customWidth="1"/>
    <col min="4" max="4" width="10.5546875" bestFit="1" customWidth="1"/>
    <col min="5" max="7" width="10.5546875" customWidth="1"/>
  </cols>
  <sheetData>
    <row r="1" spans="1:7" ht="18" x14ac:dyDescent="0.3">
      <c r="A1" s="104" t="s">
        <v>139</v>
      </c>
      <c r="B1" s="104"/>
      <c r="C1" s="104"/>
      <c r="D1" s="102"/>
      <c r="E1" s="102"/>
      <c r="F1" s="102"/>
      <c r="G1" s="102"/>
    </row>
    <row r="2" spans="1:7" ht="6.6" customHeight="1" thickBot="1" x14ac:dyDescent="0.35"/>
    <row r="3" spans="1:7" ht="15" thickBot="1" x14ac:dyDescent="0.35">
      <c r="B3" s="2" t="s">
        <v>88</v>
      </c>
      <c r="C3" s="99"/>
      <c r="D3" s="100"/>
      <c r="E3" s="100"/>
      <c r="F3" s="101"/>
    </row>
    <row r="4" spans="1:7" ht="7.95" customHeight="1" x14ac:dyDescent="0.3"/>
    <row r="5" spans="1:7" x14ac:dyDescent="0.3">
      <c r="B5" s="3" t="s">
        <v>93</v>
      </c>
      <c r="C5" s="3">
        <v>2024</v>
      </c>
      <c r="D5" s="3">
        <v>2023</v>
      </c>
      <c r="E5" s="103" t="s">
        <v>63</v>
      </c>
      <c r="F5" s="103"/>
      <c r="G5" s="4"/>
    </row>
    <row r="6" spans="1:7" x14ac:dyDescent="0.3">
      <c r="B6" s="73" t="s">
        <v>62</v>
      </c>
      <c r="C6" s="74">
        <f>C7/C8</f>
        <v>3.225806451612903</v>
      </c>
      <c r="D6" s="74">
        <f>D7/D8</f>
        <v>3.6818181818181817</v>
      </c>
      <c r="E6" s="6">
        <v>4.2</v>
      </c>
      <c r="F6" s="4" t="s">
        <v>78</v>
      </c>
      <c r="G6" s="4"/>
    </row>
    <row r="7" spans="1:7" ht="15" x14ac:dyDescent="0.35">
      <c r="B7" s="69" t="s">
        <v>89</v>
      </c>
      <c r="C7" s="70">
        <f>C134</f>
        <v>1000</v>
      </c>
      <c r="D7" s="70">
        <f>D134</f>
        <v>810</v>
      </c>
      <c r="E7" s="6"/>
      <c r="F7" s="4"/>
      <c r="G7" s="4"/>
    </row>
    <row r="8" spans="1:7" ht="15" x14ac:dyDescent="0.35">
      <c r="B8" s="71" t="s">
        <v>90</v>
      </c>
      <c r="C8" s="72">
        <f>C141</f>
        <v>310</v>
      </c>
      <c r="D8" s="72">
        <f>D141</f>
        <v>220</v>
      </c>
      <c r="E8" s="6"/>
      <c r="F8" s="4"/>
      <c r="G8" s="4"/>
    </row>
    <row r="9" spans="1:7" x14ac:dyDescent="0.3">
      <c r="B9" s="73" t="s">
        <v>91</v>
      </c>
      <c r="C9" s="74">
        <f>C10/C11</f>
        <v>1.2419354838709677</v>
      </c>
      <c r="D9" s="74">
        <f>D10/D11</f>
        <v>1.7954545454545454</v>
      </c>
      <c r="E9" s="6">
        <v>2.1</v>
      </c>
      <c r="F9" s="4" t="s">
        <v>78</v>
      </c>
    </row>
    <row r="10" spans="1:7" ht="15" x14ac:dyDescent="0.35">
      <c r="B10" s="69" t="s">
        <v>92</v>
      </c>
      <c r="C10" s="70">
        <f>C7-C133</f>
        <v>385</v>
      </c>
      <c r="D10" s="70">
        <f>D7-D133</f>
        <v>395</v>
      </c>
      <c r="E10" s="6"/>
      <c r="F10" s="4"/>
      <c r="G10" s="4"/>
    </row>
    <row r="11" spans="1:7" ht="15" x14ac:dyDescent="0.35">
      <c r="B11" s="71" t="s">
        <v>90</v>
      </c>
      <c r="C11" s="72">
        <f>C141</f>
        <v>310</v>
      </c>
      <c r="D11" s="72">
        <f>D141</f>
        <v>220</v>
      </c>
      <c r="E11" s="6"/>
      <c r="F11" s="4"/>
      <c r="G11" s="4"/>
    </row>
    <row r="12" spans="1:7" x14ac:dyDescent="0.3">
      <c r="B12" s="7" t="s">
        <v>80</v>
      </c>
      <c r="C12" s="4"/>
      <c r="D12" s="4"/>
      <c r="E12" s="4"/>
      <c r="F12" s="4"/>
      <c r="G12" s="4"/>
    </row>
    <row r="13" spans="1:7" x14ac:dyDescent="0.3">
      <c r="B13" s="106" t="s">
        <v>144</v>
      </c>
      <c r="C13" s="106"/>
      <c r="D13" s="106"/>
      <c r="E13" s="106"/>
      <c r="F13" s="106"/>
      <c r="G13" s="4"/>
    </row>
    <row r="14" spans="1:7" x14ac:dyDescent="0.3">
      <c r="B14" s="106"/>
      <c r="C14" s="106"/>
      <c r="D14" s="106"/>
      <c r="E14" s="106"/>
      <c r="F14" s="106"/>
      <c r="G14" s="4"/>
    </row>
    <row r="15" spans="1:7" x14ac:dyDescent="0.3">
      <c r="B15" s="106"/>
      <c r="C15" s="106"/>
      <c r="D15" s="106"/>
      <c r="E15" s="106"/>
      <c r="F15" s="106"/>
      <c r="G15" s="4"/>
    </row>
    <row r="16" spans="1:7" ht="25.8" customHeight="1" x14ac:dyDescent="0.3">
      <c r="B16" s="106"/>
      <c r="C16" s="106"/>
      <c r="D16" s="106"/>
      <c r="E16" s="106"/>
      <c r="F16" s="106"/>
      <c r="G16" s="4"/>
    </row>
    <row r="17" spans="2:7" x14ac:dyDescent="0.3">
      <c r="B17" s="5"/>
      <c r="C17" s="4"/>
      <c r="D17" s="4"/>
      <c r="E17" s="6"/>
      <c r="F17" s="4"/>
      <c r="G17" s="4"/>
    </row>
    <row r="18" spans="2:7" x14ac:dyDescent="0.3">
      <c r="B18" s="5"/>
      <c r="C18" s="4"/>
      <c r="D18" s="4"/>
      <c r="E18" s="6"/>
      <c r="F18" s="4"/>
      <c r="G18" s="4"/>
    </row>
    <row r="19" spans="2:7" x14ac:dyDescent="0.3">
      <c r="B19" s="3" t="s">
        <v>94</v>
      </c>
      <c r="C19" s="3">
        <v>2024</v>
      </c>
      <c r="D19" s="3">
        <v>2023</v>
      </c>
      <c r="E19" s="103" t="s">
        <v>63</v>
      </c>
      <c r="F19" s="103"/>
      <c r="G19" s="4"/>
    </row>
    <row r="20" spans="2:7" x14ac:dyDescent="0.3">
      <c r="B20" s="73" t="s">
        <v>64</v>
      </c>
      <c r="C20" s="74"/>
      <c r="D20" s="74"/>
      <c r="F20" s="6">
        <v>9</v>
      </c>
      <c r="G20" s="4" t="s">
        <v>78</v>
      </c>
    </row>
    <row r="21" spans="2:7" ht="15" x14ac:dyDescent="0.35">
      <c r="B21" s="69" t="s">
        <v>95</v>
      </c>
      <c r="C21" s="70"/>
      <c r="D21" s="70"/>
      <c r="F21" s="4"/>
      <c r="G21" s="4"/>
    </row>
    <row r="22" spans="2:7" ht="15" x14ac:dyDescent="0.35">
      <c r="B22" s="71" t="s">
        <v>96</v>
      </c>
      <c r="C22" s="72"/>
      <c r="D22" s="72"/>
      <c r="F22" s="4"/>
      <c r="G22" s="4"/>
    </row>
    <row r="23" spans="2:7" x14ac:dyDescent="0.3">
      <c r="B23" s="73" t="s">
        <v>98</v>
      </c>
      <c r="C23" s="76"/>
      <c r="D23" s="76"/>
      <c r="F23" s="4"/>
      <c r="G23" s="4"/>
    </row>
    <row r="24" spans="2:7" x14ac:dyDescent="0.3">
      <c r="B24" s="73" t="s">
        <v>99</v>
      </c>
      <c r="C24" s="76"/>
      <c r="D24" s="76"/>
      <c r="F24" s="6">
        <v>36</v>
      </c>
      <c r="G24" s="4" t="s">
        <v>79</v>
      </c>
    </row>
    <row r="25" spans="2:7" ht="15" x14ac:dyDescent="0.35">
      <c r="B25" s="69" t="s">
        <v>5</v>
      </c>
      <c r="C25" s="70"/>
      <c r="D25" s="70"/>
      <c r="F25" s="4"/>
      <c r="G25" s="4"/>
    </row>
    <row r="26" spans="2:7" ht="15" x14ac:dyDescent="0.35">
      <c r="B26" s="71" t="s">
        <v>97</v>
      </c>
      <c r="C26" s="75"/>
      <c r="D26" s="75"/>
      <c r="F26" s="4"/>
      <c r="G26" s="78"/>
    </row>
    <row r="27" spans="2:7" x14ac:dyDescent="0.3">
      <c r="B27" s="73" t="s">
        <v>100</v>
      </c>
      <c r="C27" s="76"/>
      <c r="D27" s="76"/>
      <c r="F27" s="4"/>
      <c r="G27" s="79"/>
    </row>
    <row r="28" spans="2:7" x14ac:dyDescent="0.3">
      <c r="B28" s="73" t="s">
        <v>101</v>
      </c>
      <c r="C28" s="77"/>
      <c r="D28" s="77"/>
      <c r="F28" s="4"/>
      <c r="G28" s="4"/>
    </row>
    <row r="29" spans="2:7" ht="15" x14ac:dyDescent="0.35">
      <c r="B29" s="69" t="s">
        <v>95</v>
      </c>
      <c r="C29" s="70"/>
      <c r="D29" s="70"/>
      <c r="F29" s="4"/>
      <c r="G29" s="4"/>
    </row>
    <row r="30" spans="2:7" ht="15" x14ac:dyDescent="0.35">
      <c r="B30" s="71" t="s">
        <v>102</v>
      </c>
      <c r="C30" s="75"/>
      <c r="D30" s="75"/>
      <c r="F30" s="4" t="s">
        <v>103</v>
      </c>
      <c r="G30" s="4"/>
    </row>
    <row r="31" spans="2:7" x14ac:dyDescent="0.3">
      <c r="B31" s="73" t="s">
        <v>104</v>
      </c>
      <c r="C31" s="76"/>
      <c r="D31" s="76"/>
      <c r="F31" s="4"/>
      <c r="G31" s="4"/>
    </row>
    <row r="32" spans="2:7" x14ac:dyDescent="0.3">
      <c r="B32" s="73" t="s">
        <v>65</v>
      </c>
      <c r="C32" s="74"/>
      <c r="D32" s="74"/>
      <c r="F32" s="81">
        <v>3</v>
      </c>
      <c r="G32" s="82" t="s">
        <v>78</v>
      </c>
    </row>
    <row r="33" spans="2:7" ht="15" x14ac:dyDescent="0.35">
      <c r="B33" s="69" t="s">
        <v>105</v>
      </c>
      <c r="C33" s="70"/>
      <c r="D33" s="70"/>
      <c r="F33" s="6"/>
      <c r="G33" s="4"/>
    </row>
    <row r="34" spans="2:7" ht="15" x14ac:dyDescent="0.35">
      <c r="B34" s="71" t="s">
        <v>106</v>
      </c>
      <c r="C34" s="72"/>
      <c r="D34" s="72"/>
      <c r="F34" s="6"/>
      <c r="G34" s="4"/>
    </row>
    <row r="35" spans="2:7" x14ac:dyDescent="0.3">
      <c r="B35" s="73" t="s">
        <v>66</v>
      </c>
      <c r="C35" s="74">
        <f>C36/C37</f>
        <v>1.5</v>
      </c>
      <c r="D35" s="74">
        <f>D36/D37</f>
        <v>1.6964285714285714</v>
      </c>
      <c r="F35" s="81">
        <v>1.8</v>
      </c>
      <c r="G35" s="82" t="s">
        <v>78</v>
      </c>
    </row>
    <row r="36" spans="2:7" ht="15" x14ac:dyDescent="0.35">
      <c r="B36" s="69" t="s">
        <v>105</v>
      </c>
      <c r="C36" s="70">
        <f>C153</f>
        <v>3000</v>
      </c>
      <c r="D36" s="70">
        <f>D153</f>
        <v>2850</v>
      </c>
      <c r="F36" s="6"/>
      <c r="G36" s="4"/>
    </row>
    <row r="37" spans="2:7" ht="15" x14ac:dyDescent="0.35">
      <c r="B37" s="71" t="s">
        <v>107</v>
      </c>
      <c r="C37" s="72">
        <f>C136</f>
        <v>2000</v>
      </c>
      <c r="D37" s="72">
        <f>D136</f>
        <v>1680</v>
      </c>
      <c r="F37" s="6"/>
      <c r="G37" s="4"/>
    </row>
    <row r="38" spans="2:7" x14ac:dyDescent="0.3">
      <c r="B38" s="5"/>
      <c r="C38" s="5"/>
      <c r="D38" s="5"/>
      <c r="E38" s="5"/>
      <c r="F38" s="6"/>
      <c r="G38" s="4"/>
    </row>
    <row r="39" spans="2:7" x14ac:dyDescent="0.3">
      <c r="B39" s="7" t="s">
        <v>80</v>
      </c>
      <c r="C39" s="4"/>
      <c r="D39" s="4"/>
      <c r="E39" s="4"/>
      <c r="F39" s="4"/>
      <c r="G39" s="4"/>
    </row>
    <row r="40" spans="2:7" x14ac:dyDescent="0.3">
      <c r="B40" s="106"/>
      <c r="C40" s="106"/>
      <c r="D40" s="106"/>
      <c r="E40" s="106"/>
      <c r="F40" s="106"/>
      <c r="G40" s="4"/>
    </row>
    <row r="41" spans="2:7" x14ac:dyDescent="0.3">
      <c r="B41" s="106"/>
      <c r="C41" s="106"/>
      <c r="D41" s="106"/>
      <c r="E41" s="106"/>
      <c r="F41" s="106"/>
      <c r="G41" s="4"/>
    </row>
    <row r="42" spans="2:7" x14ac:dyDescent="0.3">
      <c r="B42" s="106"/>
      <c r="C42" s="106"/>
      <c r="D42" s="106"/>
      <c r="E42" s="106"/>
      <c r="F42" s="106"/>
      <c r="G42" s="4"/>
    </row>
    <row r="43" spans="2:7" x14ac:dyDescent="0.3">
      <c r="B43" s="106"/>
      <c r="C43" s="106"/>
      <c r="D43" s="106"/>
      <c r="E43" s="106"/>
      <c r="F43" s="106"/>
      <c r="G43" s="4"/>
    </row>
    <row r="44" spans="2:7" x14ac:dyDescent="0.3">
      <c r="B44" s="106"/>
      <c r="C44" s="106"/>
      <c r="D44" s="106"/>
      <c r="E44" s="106"/>
      <c r="F44" s="106"/>
      <c r="G44" s="4"/>
    </row>
    <row r="45" spans="2:7" x14ac:dyDescent="0.3">
      <c r="B45" s="106"/>
      <c r="C45" s="106"/>
      <c r="D45" s="106"/>
      <c r="E45" s="106"/>
      <c r="F45" s="106"/>
      <c r="G45" s="4"/>
    </row>
    <row r="46" spans="2:7" x14ac:dyDescent="0.3">
      <c r="B46" s="5"/>
      <c r="C46" s="4"/>
      <c r="D46" s="4"/>
      <c r="E46" s="6"/>
      <c r="F46" s="4"/>
      <c r="G46" s="4"/>
    </row>
    <row r="47" spans="2:7" x14ac:dyDescent="0.3">
      <c r="B47" s="3" t="s">
        <v>67</v>
      </c>
      <c r="C47" s="3">
        <v>2024</v>
      </c>
      <c r="D47" s="3">
        <v>2023</v>
      </c>
      <c r="E47" s="103" t="s">
        <v>63</v>
      </c>
      <c r="F47" s="103"/>
      <c r="G47" s="4"/>
    </row>
    <row r="48" spans="2:7" x14ac:dyDescent="0.3">
      <c r="B48" s="73" t="s">
        <v>108</v>
      </c>
      <c r="C48" s="84">
        <f>C49/C50</f>
        <v>0.53200000000000003</v>
      </c>
      <c r="D48" s="84">
        <f>D49/D50</f>
        <v>0.47619047619047616</v>
      </c>
      <c r="F48" s="9">
        <v>0.4</v>
      </c>
      <c r="G48" s="4"/>
    </row>
    <row r="49" spans="2:7" ht="15" x14ac:dyDescent="0.35">
      <c r="B49" s="69" t="s">
        <v>109</v>
      </c>
      <c r="C49" s="70">
        <f>C143</f>
        <v>1064</v>
      </c>
      <c r="D49" s="70">
        <f>D143</f>
        <v>800</v>
      </c>
      <c r="F49" s="9"/>
      <c r="G49" s="4"/>
    </row>
    <row r="50" spans="2:7" ht="15" x14ac:dyDescent="0.35">
      <c r="B50" s="71" t="s">
        <v>110</v>
      </c>
      <c r="C50" s="72">
        <f>C136</f>
        <v>2000</v>
      </c>
      <c r="D50" s="72">
        <f>D136</f>
        <v>1680</v>
      </c>
      <c r="F50" s="9"/>
      <c r="G50" s="4"/>
    </row>
    <row r="51" spans="2:7" x14ac:dyDescent="0.3">
      <c r="B51" s="73" t="s">
        <v>68</v>
      </c>
      <c r="C51" s="74">
        <f>C52/C53</f>
        <v>3.2250000000000001</v>
      </c>
      <c r="D51" s="74">
        <f>D52/D53</f>
        <v>4.3833333333333337</v>
      </c>
      <c r="F51" s="10">
        <v>6</v>
      </c>
      <c r="G51" s="4" t="s">
        <v>78</v>
      </c>
    </row>
    <row r="52" spans="2:7" ht="15" x14ac:dyDescent="0.35">
      <c r="B52" s="69" t="s">
        <v>112</v>
      </c>
      <c r="C52" s="70">
        <f>C159</f>
        <v>283.8</v>
      </c>
      <c r="D52" s="70">
        <f>D159</f>
        <v>263</v>
      </c>
      <c r="F52" s="4"/>
      <c r="G52" s="4"/>
    </row>
    <row r="53" spans="2:7" ht="15" x14ac:dyDescent="0.35">
      <c r="B53" s="71" t="s">
        <v>111</v>
      </c>
      <c r="C53" s="72">
        <f>C160</f>
        <v>88</v>
      </c>
      <c r="D53" s="72">
        <f>D160</f>
        <v>60</v>
      </c>
      <c r="F53" s="4"/>
      <c r="G53" s="4"/>
    </row>
    <row r="54" spans="2:7" x14ac:dyDescent="0.3">
      <c r="B54" s="73" t="s">
        <v>76</v>
      </c>
      <c r="C54" s="74">
        <f>C55/C56</f>
        <v>2.2321428571428572</v>
      </c>
      <c r="D54" s="74">
        <f>D55/D56</f>
        <v>2</v>
      </c>
      <c r="F54">
        <v>3</v>
      </c>
      <c r="G54" s="4" t="s">
        <v>78</v>
      </c>
    </row>
    <row r="55" spans="2:7" ht="15" x14ac:dyDescent="0.35">
      <c r="B55" s="69" t="s">
        <v>110</v>
      </c>
      <c r="C55" s="70">
        <f>C50</f>
        <v>2000</v>
      </c>
      <c r="D55" s="70">
        <f>D50</f>
        <v>1680</v>
      </c>
      <c r="F55" s="4"/>
      <c r="G55" s="4"/>
    </row>
    <row r="56" spans="2:7" ht="15" x14ac:dyDescent="0.35">
      <c r="B56" s="71" t="s">
        <v>113</v>
      </c>
      <c r="C56" s="72">
        <f>C147</f>
        <v>896</v>
      </c>
      <c r="D56" s="72">
        <f>D147</f>
        <v>840</v>
      </c>
      <c r="F56" s="4"/>
      <c r="G56" s="4"/>
    </row>
    <row r="57" spans="2:7" x14ac:dyDescent="0.3">
      <c r="B57" s="7" t="s">
        <v>80</v>
      </c>
      <c r="C57" s="4"/>
      <c r="D57" s="4"/>
      <c r="E57" s="4"/>
      <c r="F57" s="4"/>
      <c r="G57" s="4"/>
    </row>
    <row r="58" spans="2:7" ht="16.2" customHeight="1" x14ac:dyDescent="0.3">
      <c r="B58" s="106" t="s">
        <v>145</v>
      </c>
      <c r="C58" s="106"/>
      <c r="D58" s="106"/>
      <c r="E58" s="106"/>
      <c r="F58" s="106"/>
      <c r="G58" s="4"/>
    </row>
    <row r="59" spans="2:7" ht="16.2" customHeight="1" x14ac:dyDescent="0.3">
      <c r="B59" s="106"/>
      <c r="C59" s="106"/>
      <c r="D59" s="106"/>
      <c r="E59" s="106"/>
      <c r="F59" s="106"/>
      <c r="G59" s="4"/>
    </row>
    <row r="60" spans="2:7" ht="16.2" customHeight="1" x14ac:dyDescent="0.3">
      <c r="B60" s="106"/>
      <c r="C60" s="106"/>
      <c r="D60" s="106"/>
      <c r="E60" s="106"/>
      <c r="F60" s="106"/>
      <c r="G60" s="4"/>
    </row>
    <row r="61" spans="2:7" ht="16.2" customHeight="1" x14ac:dyDescent="0.3">
      <c r="B61" s="106"/>
      <c r="C61" s="106"/>
      <c r="D61" s="106"/>
      <c r="E61" s="106"/>
      <c r="F61" s="106"/>
      <c r="G61" s="4"/>
    </row>
    <row r="62" spans="2:7" ht="16.2" customHeight="1" x14ac:dyDescent="0.3">
      <c r="B62" s="106"/>
      <c r="C62" s="106"/>
      <c r="D62" s="106"/>
      <c r="E62" s="106"/>
      <c r="F62" s="106"/>
      <c r="G62" s="4"/>
    </row>
    <row r="63" spans="2:7" x14ac:dyDescent="0.3">
      <c r="B63" s="5"/>
      <c r="C63" s="4"/>
      <c r="D63" s="4"/>
      <c r="E63" s="9"/>
      <c r="F63" s="4"/>
      <c r="G63" s="4"/>
    </row>
    <row r="64" spans="2:7" x14ac:dyDescent="0.3">
      <c r="B64" s="3" t="s">
        <v>114</v>
      </c>
      <c r="C64" s="3">
        <v>2024</v>
      </c>
      <c r="D64" s="3">
        <v>2023</v>
      </c>
      <c r="E64" s="103" t="s">
        <v>63</v>
      </c>
      <c r="F64" s="103"/>
      <c r="G64" s="4"/>
    </row>
    <row r="65" spans="2:7" x14ac:dyDescent="0.3">
      <c r="B65" s="73" t="s">
        <v>69</v>
      </c>
      <c r="C65" s="83">
        <f>C66/C67</f>
        <v>3.783333333333333E-2</v>
      </c>
      <c r="D65" s="83">
        <f>D66/D67</f>
        <v>4.1333333333333333E-2</v>
      </c>
      <c r="F65" s="9">
        <v>0.05</v>
      </c>
      <c r="G65" s="4"/>
    </row>
    <row r="66" spans="2:7" ht="15" x14ac:dyDescent="0.35">
      <c r="B66" s="69" t="s">
        <v>115</v>
      </c>
      <c r="C66" s="80">
        <f>C165</f>
        <v>113.5</v>
      </c>
      <c r="D66" s="80">
        <f>D165</f>
        <v>117.8</v>
      </c>
      <c r="F66" s="9"/>
      <c r="G66" s="4"/>
    </row>
    <row r="67" spans="2:7" ht="15" x14ac:dyDescent="0.35">
      <c r="B67" s="71" t="s">
        <v>105</v>
      </c>
      <c r="C67" s="72">
        <f>C153</f>
        <v>3000</v>
      </c>
      <c r="D67" s="72">
        <f>D153</f>
        <v>2850</v>
      </c>
      <c r="F67" s="9"/>
      <c r="G67" s="4"/>
    </row>
    <row r="68" spans="2:7" x14ac:dyDescent="0.3">
      <c r="B68" s="73" t="s">
        <v>70</v>
      </c>
      <c r="C68" s="83"/>
      <c r="D68" s="83"/>
      <c r="F68" s="9">
        <v>0.17199999999999999</v>
      </c>
      <c r="G68" s="4"/>
    </row>
    <row r="69" spans="2:7" ht="15" x14ac:dyDescent="0.35">
      <c r="B69" s="69" t="s">
        <v>136</v>
      </c>
      <c r="C69" s="80"/>
      <c r="D69" s="80"/>
      <c r="F69" s="9"/>
      <c r="G69" s="4"/>
    </row>
    <row r="70" spans="2:7" ht="15" x14ac:dyDescent="0.35">
      <c r="B70" s="71" t="s">
        <v>110</v>
      </c>
      <c r="C70" s="72">
        <f>C136</f>
        <v>2000</v>
      </c>
      <c r="D70" s="72"/>
      <c r="F70" s="9"/>
      <c r="G70" s="4"/>
    </row>
    <row r="71" spans="2:7" x14ac:dyDescent="0.3">
      <c r="B71" s="73" t="s">
        <v>132</v>
      </c>
      <c r="C71" s="83">
        <f>C72/C73</f>
        <v>0.12793333333333334</v>
      </c>
      <c r="D71" s="83">
        <f>D72/D73</f>
        <v>0.12385964912280702</v>
      </c>
      <c r="F71" s="9"/>
      <c r="G71" s="4"/>
    </row>
    <row r="72" spans="2:7" ht="15" x14ac:dyDescent="0.35">
      <c r="B72" s="69" t="s">
        <v>133</v>
      </c>
      <c r="C72" s="80">
        <f>C155</f>
        <v>383.8</v>
      </c>
      <c r="D72" s="80">
        <f>D155</f>
        <v>353</v>
      </c>
      <c r="F72" s="9"/>
      <c r="G72" s="4"/>
    </row>
    <row r="73" spans="2:7" ht="15" x14ac:dyDescent="0.35">
      <c r="B73" s="71" t="s">
        <v>105</v>
      </c>
      <c r="C73" s="72">
        <f>C67</f>
        <v>3000</v>
      </c>
      <c r="D73" s="72">
        <f>D67</f>
        <v>2850</v>
      </c>
      <c r="F73" s="9"/>
      <c r="G73" s="4"/>
    </row>
    <row r="74" spans="2:7" x14ac:dyDescent="0.3">
      <c r="B74" s="73" t="s">
        <v>71</v>
      </c>
      <c r="C74" s="83"/>
      <c r="D74" s="83"/>
      <c r="F74" s="9">
        <v>0.09</v>
      </c>
      <c r="G74" s="4"/>
    </row>
    <row r="75" spans="2:7" ht="15" x14ac:dyDescent="0.35">
      <c r="B75" s="69" t="s">
        <v>115</v>
      </c>
      <c r="C75" s="80"/>
      <c r="D75" s="80"/>
      <c r="F75" s="9"/>
      <c r="G75" s="4"/>
    </row>
    <row r="76" spans="2:7" ht="15" x14ac:dyDescent="0.35">
      <c r="B76" s="71" t="s">
        <v>110</v>
      </c>
      <c r="C76" s="72"/>
      <c r="D76" s="72"/>
      <c r="F76" s="9"/>
      <c r="G76" s="4"/>
    </row>
    <row r="77" spans="2:7" x14ac:dyDescent="0.3">
      <c r="B77" s="73" t="s">
        <v>116</v>
      </c>
      <c r="C77" s="83">
        <f>C78/C79</f>
        <v>0.12667410714285715</v>
      </c>
      <c r="D77" s="83">
        <f>D78/D79</f>
        <v>0.14023809523809525</v>
      </c>
      <c r="F77" s="9">
        <v>0.15</v>
      </c>
      <c r="G77" s="4"/>
    </row>
    <row r="78" spans="2:7" ht="15" x14ac:dyDescent="0.35">
      <c r="B78" s="69" t="s">
        <v>115</v>
      </c>
      <c r="C78" s="80">
        <f>C66</f>
        <v>113.5</v>
      </c>
      <c r="D78" s="80">
        <f>D66</f>
        <v>117.8</v>
      </c>
      <c r="F78" s="9"/>
      <c r="G78" s="4"/>
    </row>
    <row r="79" spans="2:7" ht="15" x14ac:dyDescent="0.35">
      <c r="B79" s="71" t="s">
        <v>113</v>
      </c>
      <c r="C79" s="72">
        <f>C147</f>
        <v>896</v>
      </c>
      <c r="D79" s="72">
        <f>D147</f>
        <v>840</v>
      </c>
      <c r="F79" s="9"/>
      <c r="G79" s="4"/>
    </row>
    <row r="80" spans="2:7" x14ac:dyDescent="0.3">
      <c r="B80" s="73" t="s">
        <v>77</v>
      </c>
      <c r="C80" s="83">
        <f>C83*C82*C81</f>
        <v>0.12667410714285712</v>
      </c>
      <c r="D80" s="83">
        <f>D83*D82*D81</f>
        <v>0.14023809523809525</v>
      </c>
      <c r="F80" s="4"/>
      <c r="G80" s="4"/>
    </row>
    <row r="81" spans="2:7" ht="15" x14ac:dyDescent="0.35">
      <c r="B81" s="69" t="s">
        <v>117</v>
      </c>
      <c r="C81" s="80">
        <f>C35</f>
        <v>1.5</v>
      </c>
      <c r="D81" s="80">
        <f>D35</f>
        <v>1.6964285714285714</v>
      </c>
      <c r="F81" s="4"/>
      <c r="G81" s="4"/>
    </row>
    <row r="82" spans="2:7" ht="15" x14ac:dyDescent="0.35">
      <c r="B82" s="69" t="s">
        <v>69</v>
      </c>
      <c r="C82" s="86">
        <f>C65</f>
        <v>3.783333333333333E-2</v>
      </c>
      <c r="D82" s="86">
        <f>D65</f>
        <v>4.1333333333333333E-2</v>
      </c>
      <c r="F82" s="4"/>
      <c r="G82" s="4"/>
    </row>
    <row r="83" spans="2:7" ht="15" x14ac:dyDescent="0.35">
      <c r="B83" s="69" t="s">
        <v>118</v>
      </c>
      <c r="C83" s="80">
        <f>C54</f>
        <v>2.2321428571428572</v>
      </c>
      <c r="D83" s="80">
        <f>D54</f>
        <v>2</v>
      </c>
      <c r="F83" s="4"/>
      <c r="G83" s="4"/>
    </row>
    <row r="84" spans="2:7" x14ac:dyDescent="0.3">
      <c r="B84" s="7" t="s">
        <v>80</v>
      </c>
      <c r="C84" s="4"/>
      <c r="D84" s="4"/>
      <c r="E84" s="4"/>
      <c r="F84" s="4"/>
      <c r="G84" s="4"/>
    </row>
    <row r="85" spans="2:7" x14ac:dyDescent="0.3">
      <c r="B85" s="106"/>
      <c r="C85" s="106"/>
      <c r="D85" s="106"/>
      <c r="E85" s="106"/>
      <c r="F85" s="106"/>
      <c r="G85" s="4"/>
    </row>
    <row r="86" spans="2:7" x14ac:dyDescent="0.3">
      <c r="B86" s="106"/>
      <c r="C86" s="106"/>
      <c r="D86" s="106"/>
      <c r="E86" s="106"/>
      <c r="F86" s="106"/>
      <c r="G86" s="4"/>
    </row>
    <row r="87" spans="2:7" x14ac:dyDescent="0.3">
      <c r="B87" s="106"/>
      <c r="C87" s="106"/>
      <c r="D87" s="106"/>
      <c r="E87" s="106"/>
      <c r="F87" s="106"/>
      <c r="G87" s="4"/>
    </row>
    <row r="88" spans="2:7" x14ac:dyDescent="0.3">
      <c r="B88" s="106"/>
      <c r="C88" s="106"/>
      <c r="D88" s="106"/>
      <c r="E88" s="106"/>
      <c r="F88" s="106"/>
      <c r="G88" s="4"/>
    </row>
    <row r="89" spans="2:7" x14ac:dyDescent="0.3">
      <c r="B89" s="106"/>
      <c r="C89" s="106"/>
      <c r="D89" s="106"/>
      <c r="E89" s="106"/>
      <c r="F89" s="106"/>
      <c r="G89" s="4"/>
    </row>
    <row r="90" spans="2:7" x14ac:dyDescent="0.3">
      <c r="B90" s="106"/>
      <c r="C90" s="106"/>
      <c r="D90" s="106"/>
      <c r="E90" s="106"/>
      <c r="F90" s="106"/>
      <c r="G90" s="4"/>
    </row>
    <row r="91" spans="2:7" x14ac:dyDescent="0.3">
      <c r="B91" s="106"/>
      <c r="C91" s="106"/>
      <c r="D91" s="106"/>
      <c r="E91" s="106"/>
      <c r="F91" s="106"/>
      <c r="G91" s="4"/>
    </row>
    <row r="92" spans="2:7" x14ac:dyDescent="0.3">
      <c r="B92" s="5"/>
      <c r="C92" s="4"/>
      <c r="D92" s="4"/>
      <c r="E92" s="9"/>
      <c r="F92" s="4"/>
      <c r="G92" s="4"/>
    </row>
    <row r="93" spans="2:7" x14ac:dyDescent="0.3">
      <c r="B93" s="8" t="s">
        <v>72</v>
      </c>
      <c r="C93" s="3">
        <v>2024</v>
      </c>
      <c r="D93" s="3">
        <v>2023</v>
      </c>
      <c r="E93" s="103" t="s">
        <v>63</v>
      </c>
      <c r="F93" s="103"/>
      <c r="G93" s="4"/>
    </row>
    <row r="94" spans="2:7" x14ac:dyDescent="0.3">
      <c r="B94" s="5" t="s">
        <v>73</v>
      </c>
      <c r="C94" s="68"/>
      <c r="D94" s="68"/>
      <c r="F94" s="10">
        <v>12.5</v>
      </c>
      <c r="G94" s="4" t="s">
        <v>78</v>
      </c>
    </row>
    <row r="95" spans="2:7" x14ac:dyDescent="0.3">
      <c r="B95" s="5" t="s">
        <v>74</v>
      </c>
      <c r="C95" s="68"/>
      <c r="D95" s="68"/>
      <c r="F95" s="10">
        <v>6.8</v>
      </c>
      <c r="G95" s="4" t="s">
        <v>78</v>
      </c>
    </row>
    <row r="96" spans="2:7" x14ac:dyDescent="0.3">
      <c r="B96" s="5" t="s">
        <v>75</v>
      </c>
      <c r="C96" s="68"/>
      <c r="D96" s="68"/>
      <c r="F96" s="10">
        <v>1.7</v>
      </c>
      <c r="G96" s="4" t="s">
        <v>78</v>
      </c>
    </row>
    <row r="97" spans="2:7" x14ac:dyDescent="0.3">
      <c r="B97" s="7" t="s">
        <v>80</v>
      </c>
      <c r="C97" s="4"/>
      <c r="D97" s="4"/>
      <c r="E97" s="4"/>
      <c r="F97" s="4"/>
      <c r="G97" s="4"/>
    </row>
    <row r="98" spans="2:7" ht="18.600000000000001" customHeight="1" x14ac:dyDescent="0.3">
      <c r="B98" s="106"/>
      <c r="C98" s="106"/>
      <c r="D98" s="106"/>
      <c r="E98" s="106"/>
      <c r="F98" s="106"/>
      <c r="G98" s="4"/>
    </row>
    <row r="99" spans="2:7" ht="18.600000000000001" customHeight="1" x14ac:dyDescent="0.3">
      <c r="B99" s="106"/>
      <c r="C99" s="106"/>
      <c r="D99" s="106"/>
      <c r="E99" s="106"/>
      <c r="F99" s="106"/>
      <c r="G99" s="4"/>
    </row>
    <row r="100" spans="2:7" ht="18.600000000000001" customHeight="1" x14ac:dyDescent="0.3">
      <c r="B100" s="106"/>
      <c r="C100" s="106"/>
      <c r="D100" s="106"/>
      <c r="E100" s="106"/>
      <c r="F100" s="106"/>
      <c r="G100" s="4"/>
    </row>
    <row r="101" spans="2:7" x14ac:dyDescent="0.3">
      <c r="B101" s="4"/>
      <c r="C101" s="4"/>
      <c r="D101" s="4"/>
      <c r="E101" s="4"/>
      <c r="F101" s="4"/>
      <c r="G101" s="4"/>
    </row>
    <row r="102" spans="2:7" x14ac:dyDescent="0.3">
      <c r="B102" s="15" t="s">
        <v>121</v>
      </c>
      <c r="C102" s="3">
        <v>2024</v>
      </c>
      <c r="D102" s="3">
        <v>2023</v>
      </c>
      <c r="E102" s="4"/>
      <c r="F102" s="4"/>
      <c r="G102" s="4"/>
    </row>
    <row r="103" spans="2:7" x14ac:dyDescent="0.3">
      <c r="B103" s="88" t="s">
        <v>123</v>
      </c>
      <c r="C103" s="89">
        <f>C104-C105</f>
        <v>800</v>
      </c>
      <c r="D103" s="89">
        <f>D104-D105</f>
        <v>585</v>
      </c>
      <c r="E103" s="4"/>
      <c r="F103" s="4"/>
      <c r="G103" s="4"/>
    </row>
    <row r="104" spans="2:7" ht="16.8" x14ac:dyDescent="0.4">
      <c r="B104" s="87" t="s">
        <v>122</v>
      </c>
      <c r="C104" s="72">
        <f>C130+C132+C133</f>
        <v>1000</v>
      </c>
      <c r="D104" s="72">
        <f>D130+D132+D133</f>
        <v>745</v>
      </c>
      <c r="E104" s="4"/>
      <c r="F104" s="4"/>
      <c r="G104" s="4"/>
    </row>
    <row r="105" spans="2:7" ht="16.8" x14ac:dyDescent="0.4">
      <c r="B105" s="90" t="s">
        <v>120</v>
      </c>
      <c r="C105" s="91">
        <f>C138+C140</f>
        <v>200</v>
      </c>
      <c r="D105" s="91">
        <f>D138+D140</f>
        <v>160</v>
      </c>
      <c r="E105" s="4"/>
      <c r="F105" s="4"/>
      <c r="G105" s="4"/>
    </row>
    <row r="106" spans="2:7" ht="16.8" x14ac:dyDescent="0.4">
      <c r="B106" s="87" t="s">
        <v>124</v>
      </c>
      <c r="C106" s="72">
        <f>C135</f>
        <v>1000</v>
      </c>
      <c r="D106" s="72">
        <f>D135</f>
        <v>870</v>
      </c>
      <c r="E106" s="4"/>
      <c r="F106" s="4"/>
      <c r="G106" s="4"/>
    </row>
    <row r="107" spans="2:7" x14ac:dyDescent="0.3">
      <c r="B107" s="88" t="s">
        <v>125</v>
      </c>
      <c r="C107" s="89">
        <f>C103+C106</f>
        <v>1800</v>
      </c>
      <c r="D107" s="89">
        <f>D103+D106</f>
        <v>1455</v>
      </c>
      <c r="E107" s="4"/>
      <c r="F107" s="4"/>
      <c r="G107" s="4"/>
    </row>
    <row r="108" spans="2:7" x14ac:dyDescent="0.3">
      <c r="C108" s="4"/>
      <c r="D108" s="4"/>
      <c r="E108" s="4"/>
      <c r="F108" s="4"/>
      <c r="G108" s="4"/>
    </row>
    <row r="109" spans="2:7" x14ac:dyDescent="0.3">
      <c r="B109" s="88" t="s">
        <v>126</v>
      </c>
      <c r="C109" s="89">
        <f>C107-D107</f>
        <v>345</v>
      </c>
      <c r="D109" s="98">
        <f>C109/D107</f>
        <v>0.23711340206185566</v>
      </c>
      <c r="E109" s="4"/>
      <c r="F109" s="4"/>
      <c r="G109" s="4"/>
    </row>
    <row r="110" spans="2:7" x14ac:dyDescent="0.3">
      <c r="B110" s="4"/>
      <c r="C110" s="4"/>
      <c r="D110" s="4"/>
      <c r="E110" s="4"/>
      <c r="F110" s="4"/>
      <c r="G110" s="4"/>
    </row>
    <row r="111" spans="2:7" x14ac:dyDescent="0.3">
      <c r="B111" s="88" t="s">
        <v>127</v>
      </c>
      <c r="C111" s="92">
        <f>C165+C156</f>
        <v>213.5</v>
      </c>
      <c r="D111" s="92">
        <f>D165+D156</f>
        <v>207.8</v>
      </c>
      <c r="E111" s="4"/>
      <c r="F111" s="4"/>
      <c r="G111" s="4"/>
    </row>
    <row r="112" spans="2:7" x14ac:dyDescent="0.3">
      <c r="B112" s="88" t="s">
        <v>128</v>
      </c>
      <c r="C112" s="92">
        <f>C159*(1-0.4)</f>
        <v>170.28</v>
      </c>
      <c r="D112" s="92">
        <f>D159*(1-0.4)</f>
        <v>157.79999999999998</v>
      </c>
      <c r="E112" s="4"/>
      <c r="F112" s="4"/>
      <c r="G112" s="4"/>
    </row>
    <row r="113" spans="2:7" x14ac:dyDescent="0.3">
      <c r="B113" s="88" t="s">
        <v>134</v>
      </c>
      <c r="C113" s="92">
        <f>C112-C109</f>
        <v>-174.72</v>
      </c>
      <c r="D113" s="4"/>
      <c r="E113" s="4"/>
      <c r="F113" s="4"/>
      <c r="G113" s="4"/>
    </row>
    <row r="114" spans="2:7" x14ac:dyDescent="0.3">
      <c r="B114" s="88" t="s">
        <v>129</v>
      </c>
      <c r="C114" s="93">
        <f>C112/C107</f>
        <v>9.4600000000000004E-2</v>
      </c>
      <c r="D114" s="93">
        <f>D112/D107</f>
        <v>0.10845360824742267</v>
      </c>
      <c r="E114" s="4"/>
      <c r="G114" s="4"/>
    </row>
    <row r="115" spans="2:7" x14ac:dyDescent="0.3">
      <c r="B115" s="88" t="s">
        <v>130</v>
      </c>
      <c r="C115" s="94">
        <v>0.11</v>
      </c>
      <c r="D115" s="94">
        <v>0.108</v>
      </c>
      <c r="E115" s="4"/>
      <c r="G115" s="4"/>
    </row>
    <row r="116" spans="2:7" x14ac:dyDescent="0.3">
      <c r="B116" s="88" t="s">
        <v>131</v>
      </c>
      <c r="C116" s="95">
        <f>C107*(C114-C115)</f>
        <v>-27.719999999999995</v>
      </c>
      <c r="D116" s="95">
        <f>D107*(D114-D115)</f>
        <v>0.65999999999999037</v>
      </c>
      <c r="E116" s="4"/>
      <c r="G116" s="4"/>
    </row>
    <row r="117" spans="2:7" x14ac:dyDescent="0.3">
      <c r="B117" s="4"/>
      <c r="C117" s="4"/>
      <c r="D117" s="4"/>
      <c r="E117" s="4"/>
      <c r="G117" s="4"/>
    </row>
    <row r="118" spans="2:7" x14ac:dyDescent="0.3">
      <c r="B118" s="7" t="s">
        <v>80</v>
      </c>
      <c r="C118" s="4"/>
      <c r="D118" s="4"/>
      <c r="E118" s="4"/>
      <c r="F118" s="4"/>
      <c r="G118" s="4"/>
    </row>
    <row r="119" spans="2:7" x14ac:dyDescent="0.3">
      <c r="B119" s="111" t="s">
        <v>143</v>
      </c>
      <c r="C119" s="111"/>
      <c r="D119" s="111"/>
      <c r="E119" s="111"/>
      <c r="F119" s="111"/>
      <c r="G119" s="4"/>
    </row>
    <row r="120" spans="2:7" x14ac:dyDescent="0.3">
      <c r="B120" s="111"/>
      <c r="C120" s="111"/>
      <c r="D120" s="111"/>
      <c r="E120" s="111"/>
      <c r="F120" s="111"/>
      <c r="G120" s="4"/>
    </row>
    <row r="121" spans="2:7" x14ac:dyDescent="0.3">
      <c r="B121" s="111"/>
      <c r="C121" s="111"/>
      <c r="D121" s="111"/>
      <c r="E121" s="111"/>
      <c r="F121" s="111"/>
      <c r="G121" s="4"/>
    </row>
    <row r="122" spans="2:7" x14ac:dyDescent="0.3">
      <c r="B122" s="111"/>
      <c r="C122" s="111"/>
      <c r="D122" s="111"/>
      <c r="E122" s="111"/>
      <c r="F122" s="111"/>
      <c r="G122" s="4"/>
    </row>
    <row r="123" spans="2:7" x14ac:dyDescent="0.3">
      <c r="B123" s="111"/>
      <c r="C123" s="111"/>
      <c r="D123" s="111"/>
      <c r="E123" s="111"/>
      <c r="F123" s="111"/>
      <c r="G123" s="4"/>
    </row>
    <row r="124" spans="2:7" x14ac:dyDescent="0.3">
      <c r="B124" s="111"/>
      <c r="C124" s="111"/>
      <c r="D124" s="111"/>
      <c r="E124" s="111"/>
      <c r="F124" s="111"/>
      <c r="G124" s="4"/>
    </row>
    <row r="125" spans="2:7" x14ac:dyDescent="0.3">
      <c r="B125" s="4"/>
      <c r="C125" s="4"/>
      <c r="D125" s="4"/>
      <c r="E125" s="4"/>
      <c r="F125" s="4"/>
      <c r="G125" s="4"/>
    </row>
    <row r="126" spans="2:7" x14ac:dyDescent="0.3">
      <c r="B126" s="4"/>
      <c r="C126" s="4"/>
      <c r="D126" s="4"/>
      <c r="E126" s="4"/>
      <c r="F126" s="4"/>
      <c r="G126" s="4"/>
    </row>
    <row r="127" spans="2:7" x14ac:dyDescent="0.3">
      <c r="B127" s="108" t="s">
        <v>135</v>
      </c>
      <c r="C127" s="108"/>
      <c r="D127" s="108"/>
      <c r="E127" s="108"/>
      <c r="F127" s="108"/>
      <c r="G127" s="11"/>
    </row>
    <row r="128" spans="2:7" x14ac:dyDescent="0.3">
      <c r="B128" s="107" t="s">
        <v>0</v>
      </c>
      <c r="C128" s="107"/>
      <c r="D128" s="107"/>
      <c r="E128" s="12" t="s">
        <v>82</v>
      </c>
      <c r="F128" s="110" t="s">
        <v>83</v>
      </c>
      <c r="G128" s="110"/>
    </row>
    <row r="129" spans="2:7" x14ac:dyDescent="0.3">
      <c r="B129" s="14"/>
      <c r="C129" s="3">
        <v>2024</v>
      </c>
      <c r="D129" s="3">
        <v>2023</v>
      </c>
      <c r="E129" s="1" t="s">
        <v>81</v>
      </c>
      <c r="F129" s="16" t="s">
        <v>84</v>
      </c>
      <c r="G129" s="16" t="s">
        <v>85</v>
      </c>
    </row>
    <row r="130" spans="2:7" x14ac:dyDescent="0.3">
      <c r="B130" s="43" t="s">
        <v>1</v>
      </c>
      <c r="C130" s="44">
        <v>10</v>
      </c>
      <c r="D130" s="44">
        <v>15</v>
      </c>
      <c r="E130" s="53">
        <f>C130/$C$136</f>
        <v>5.0000000000000001E-3</v>
      </c>
      <c r="F130" s="54">
        <f>C130-D130</f>
        <v>-5</v>
      </c>
      <c r="G130" s="53">
        <f>F130/D130</f>
        <v>-0.33333333333333331</v>
      </c>
    </row>
    <row r="131" spans="2:7" x14ac:dyDescent="0.3">
      <c r="B131" s="49" t="s">
        <v>3</v>
      </c>
      <c r="C131" s="50">
        <v>0</v>
      </c>
      <c r="D131" s="50">
        <v>65</v>
      </c>
      <c r="E131" s="53">
        <f t="shared" ref="E131:E148" si="0">C131/$C$136</f>
        <v>0</v>
      </c>
      <c r="F131" s="54">
        <f t="shared" ref="F131:F148" si="1">C131-D131</f>
        <v>-65</v>
      </c>
      <c r="G131" s="53">
        <f t="shared" ref="G131:G148" si="2">F131/D131</f>
        <v>-1</v>
      </c>
    </row>
    <row r="132" spans="2:7" x14ac:dyDescent="0.3">
      <c r="B132" s="43" t="s">
        <v>5</v>
      </c>
      <c r="C132" s="44">
        <v>375</v>
      </c>
      <c r="D132" s="44">
        <v>315</v>
      </c>
      <c r="E132" s="53">
        <f t="shared" si="0"/>
        <v>0.1875</v>
      </c>
      <c r="F132" s="54">
        <f t="shared" si="1"/>
        <v>60</v>
      </c>
      <c r="G132" s="53">
        <f t="shared" si="2"/>
        <v>0.19047619047619047</v>
      </c>
    </row>
    <row r="133" spans="2:7" x14ac:dyDescent="0.3">
      <c r="B133" s="43" t="s">
        <v>7</v>
      </c>
      <c r="C133" s="44">
        <v>615</v>
      </c>
      <c r="D133" s="44">
        <v>415</v>
      </c>
      <c r="E133" s="53">
        <f t="shared" si="0"/>
        <v>0.3075</v>
      </c>
      <c r="F133" s="54">
        <f t="shared" si="1"/>
        <v>200</v>
      </c>
      <c r="G133" s="53">
        <f t="shared" si="2"/>
        <v>0.48192771084337349</v>
      </c>
    </row>
    <row r="134" spans="2:7" ht="15" thickBot="1" x14ac:dyDescent="0.35">
      <c r="B134" s="17" t="s">
        <v>9</v>
      </c>
      <c r="C134" s="18">
        <v>1000</v>
      </c>
      <c r="D134" s="18">
        <v>810</v>
      </c>
      <c r="E134" s="53">
        <f t="shared" si="0"/>
        <v>0.5</v>
      </c>
      <c r="F134" s="54">
        <f t="shared" si="1"/>
        <v>190</v>
      </c>
      <c r="G134" s="53">
        <f t="shared" si="2"/>
        <v>0.23456790123456789</v>
      </c>
    </row>
    <row r="135" spans="2:7" x14ac:dyDescent="0.3">
      <c r="B135" s="45" t="s">
        <v>11</v>
      </c>
      <c r="C135" s="46">
        <f>1000</f>
        <v>1000</v>
      </c>
      <c r="D135" s="46">
        <f>870</f>
        <v>870</v>
      </c>
      <c r="E135" s="53">
        <f t="shared" si="0"/>
        <v>0.5</v>
      </c>
      <c r="F135" s="54">
        <f t="shared" si="1"/>
        <v>130</v>
      </c>
      <c r="G135" s="53">
        <f t="shared" si="2"/>
        <v>0.14942528735632185</v>
      </c>
    </row>
    <row r="136" spans="2:7" ht="15" thickBot="1" x14ac:dyDescent="0.35">
      <c r="B136" s="19" t="s">
        <v>17</v>
      </c>
      <c r="C136" s="20">
        <v>2000</v>
      </c>
      <c r="D136" s="20">
        <v>1680</v>
      </c>
      <c r="E136" s="53">
        <f t="shared" si="0"/>
        <v>1</v>
      </c>
      <c r="F136" s="54">
        <f t="shared" si="1"/>
        <v>320</v>
      </c>
      <c r="G136" s="53">
        <f t="shared" si="2"/>
        <v>0.19047619047619047</v>
      </c>
    </row>
    <row r="137" spans="2:7" x14ac:dyDescent="0.3">
      <c r="B137" s="4"/>
      <c r="C137" s="21"/>
      <c r="D137" s="21"/>
      <c r="E137" s="53"/>
      <c r="F137" s="54"/>
      <c r="G137" s="53"/>
    </row>
    <row r="138" spans="2:7" x14ac:dyDescent="0.3">
      <c r="B138" s="43" t="s">
        <v>2</v>
      </c>
      <c r="C138" s="44">
        <v>60</v>
      </c>
      <c r="D138" s="44">
        <v>30</v>
      </c>
      <c r="E138" s="53">
        <f t="shared" si="0"/>
        <v>0.03</v>
      </c>
      <c r="F138" s="54">
        <f t="shared" si="1"/>
        <v>30</v>
      </c>
      <c r="G138" s="53">
        <f t="shared" si="2"/>
        <v>1</v>
      </c>
    </row>
    <row r="139" spans="2:7" x14ac:dyDescent="0.3">
      <c r="B139" s="49" t="s">
        <v>4</v>
      </c>
      <c r="C139" s="50">
        <v>110</v>
      </c>
      <c r="D139" s="50">
        <v>60</v>
      </c>
      <c r="E139" s="53">
        <f t="shared" si="0"/>
        <v>5.5E-2</v>
      </c>
      <c r="F139" s="54">
        <f t="shared" si="1"/>
        <v>50</v>
      </c>
      <c r="G139" s="53">
        <f t="shared" si="2"/>
        <v>0.83333333333333337</v>
      </c>
    </row>
    <row r="140" spans="2:7" x14ac:dyDescent="0.3">
      <c r="B140" s="43" t="s">
        <v>6</v>
      </c>
      <c r="C140" s="44">
        <v>140</v>
      </c>
      <c r="D140" s="44">
        <v>130</v>
      </c>
      <c r="E140" s="53">
        <f t="shared" si="0"/>
        <v>7.0000000000000007E-2</v>
      </c>
      <c r="F140" s="54">
        <f t="shared" si="1"/>
        <v>10</v>
      </c>
      <c r="G140" s="53">
        <f t="shared" si="2"/>
        <v>7.6923076923076927E-2</v>
      </c>
    </row>
    <row r="141" spans="2:7" ht="15" thickBot="1" x14ac:dyDescent="0.35">
      <c r="B141" s="47" t="s">
        <v>8</v>
      </c>
      <c r="C141" s="48">
        <v>310</v>
      </c>
      <c r="D141" s="48">
        <v>220</v>
      </c>
      <c r="E141" s="53">
        <f t="shared" si="0"/>
        <v>0.155</v>
      </c>
      <c r="F141" s="54">
        <f t="shared" si="1"/>
        <v>90</v>
      </c>
      <c r="G141" s="53">
        <f t="shared" si="2"/>
        <v>0.40909090909090912</v>
      </c>
    </row>
    <row r="142" spans="2:7" x14ac:dyDescent="0.3">
      <c r="B142" s="49" t="s">
        <v>10</v>
      </c>
      <c r="C142" s="50">
        <v>754</v>
      </c>
      <c r="D142" s="50">
        <v>580</v>
      </c>
      <c r="E142" s="53">
        <f t="shared" si="0"/>
        <v>0.377</v>
      </c>
      <c r="F142" s="54">
        <f t="shared" si="1"/>
        <v>174</v>
      </c>
      <c r="G142" s="53">
        <f t="shared" si="2"/>
        <v>0.3</v>
      </c>
    </row>
    <row r="143" spans="2:7" ht="15" thickBot="1" x14ac:dyDescent="0.35">
      <c r="B143" s="22" t="s">
        <v>12</v>
      </c>
      <c r="C143" s="23">
        <v>1064</v>
      </c>
      <c r="D143" s="23">
        <v>800</v>
      </c>
      <c r="E143" s="53">
        <f t="shared" si="0"/>
        <v>0.53200000000000003</v>
      </c>
      <c r="F143" s="54">
        <f t="shared" si="1"/>
        <v>264</v>
      </c>
      <c r="G143" s="53">
        <f t="shared" si="2"/>
        <v>0.33</v>
      </c>
    </row>
    <row r="144" spans="2:7" x14ac:dyDescent="0.3">
      <c r="B144" s="49" t="s">
        <v>13</v>
      </c>
      <c r="C144" s="50">
        <v>40</v>
      </c>
      <c r="D144" s="50">
        <v>40</v>
      </c>
      <c r="E144" s="53">
        <f t="shared" si="0"/>
        <v>0.02</v>
      </c>
      <c r="F144" s="54">
        <f t="shared" si="1"/>
        <v>0</v>
      </c>
      <c r="G144" s="53">
        <f t="shared" si="2"/>
        <v>0</v>
      </c>
    </row>
    <row r="145" spans="2:7" x14ac:dyDescent="0.3">
      <c r="B145" s="49" t="s">
        <v>14</v>
      </c>
      <c r="C145" s="50">
        <v>130</v>
      </c>
      <c r="D145" s="50">
        <v>130</v>
      </c>
      <c r="E145" s="53">
        <f t="shared" si="0"/>
        <v>6.5000000000000002E-2</v>
      </c>
      <c r="F145" s="54">
        <f t="shared" si="1"/>
        <v>0</v>
      </c>
      <c r="G145" s="53">
        <f t="shared" si="2"/>
        <v>0</v>
      </c>
    </row>
    <row r="146" spans="2:7" x14ac:dyDescent="0.3">
      <c r="B146" s="49" t="s">
        <v>15</v>
      </c>
      <c r="C146" s="50">
        <v>766</v>
      </c>
      <c r="D146" s="50">
        <v>710</v>
      </c>
      <c r="E146" s="53">
        <f t="shared" si="0"/>
        <v>0.38300000000000001</v>
      </c>
      <c r="F146" s="54">
        <f t="shared" si="1"/>
        <v>56</v>
      </c>
      <c r="G146" s="53">
        <f t="shared" si="2"/>
        <v>7.8873239436619724E-2</v>
      </c>
    </row>
    <row r="147" spans="2:7" ht="15" thickBot="1" x14ac:dyDescent="0.35">
      <c r="B147" s="51" t="s">
        <v>16</v>
      </c>
      <c r="C147" s="52">
        <v>896</v>
      </c>
      <c r="D147" s="52">
        <v>840</v>
      </c>
      <c r="E147" s="53">
        <f t="shared" si="0"/>
        <v>0.44800000000000001</v>
      </c>
      <c r="F147" s="54">
        <f t="shared" si="1"/>
        <v>56</v>
      </c>
      <c r="G147" s="53">
        <f t="shared" si="2"/>
        <v>6.6666666666666666E-2</v>
      </c>
    </row>
    <row r="148" spans="2:7" ht="15" thickBot="1" x14ac:dyDescent="0.35">
      <c r="B148" s="19" t="s">
        <v>18</v>
      </c>
      <c r="C148" s="20">
        <v>2000</v>
      </c>
      <c r="D148" s="20">
        <v>1680</v>
      </c>
      <c r="E148" s="53">
        <f t="shared" si="0"/>
        <v>1</v>
      </c>
      <c r="F148" s="54">
        <f t="shared" si="1"/>
        <v>320</v>
      </c>
      <c r="G148" s="53">
        <f t="shared" si="2"/>
        <v>0.19047619047619047</v>
      </c>
    </row>
    <row r="149" spans="2:7" x14ac:dyDescent="0.3">
      <c r="B149" s="4"/>
      <c r="C149" s="4"/>
      <c r="D149" s="4"/>
      <c r="E149" s="4"/>
      <c r="F149" s="4"/>
      <c r="G149" s="4"/>
    </row>
    <row r="150" spans="2:7" x14ac:dyDescent="0.3">
      <c r="B150" s="108" t="s">
        <v>87</v>
      </c>
      <c r="C150" s="108"/>
      <c r="D150" s="108"/>
      <c r="E150" s="108"/>
      <c r="F150" s="108"/>
      <c r="G150" s="108"/>
    </row>
    <row r="151" spans="2:7" x14ac:dyDescent="0.3">
      <c r="B151" s="24"/>
      <c r="C151" s="24"/>
      <c r="D151" s="24"/>
      <c r="E151" s="12" t="s">
        <v>82</v>
      </c>
      <c r="F151" s="13" t="s">
        <v>83</v>
      </c>
      <c r="G151" s="25"/>
    </row>
    <row r="152" spans="2:7" ht="15" customHeight="1" x14ac:dyDescent="0.3">
      <c r="B152" s="97" t="s">
        <v>86</v>
      </c>
      <c r="C152" s="3">
        <v>2024</v>
      </c>
      <c r="D152" s="3">
        <v>2023</v>
      </c>
      <c r="E152" s="1" t="s">
        <v>81</v>
      </c>
      <c r="F152" s="16" t="s">
        <v>137</v>
      </c>
      <c r="G152" s="16" t="s">
        <v>138</v>
      </c>
    </row>
    <row r="153" spans="2:7" x14ac:dyDescent="0.3">
      <c r="B153" s="56" t="s">
        <v>19</v>
      </c>
      <c r="C153" s="57">
        <v>3000</v>
      </c>
      <c r="D153" s="57">
        <v>2850</v>
      </c>
      <c r="E153" s="53">
        <f>C153/$C$153</f>
        <v>1</v>
      </c>
      <c r="F153" s="55">
        <f>C153-D153</f>
        <v>150</v>
      </c>
      <c r="G153" s="53">
        <f>F153/D153</f>
        <v>5.2631578947368418E-2</v>
      </c>
    </row>
    <row r="154" spans="2:7" ht="27.6" x14ac:dyDescent="0.3">
      <c r="B154" s="58" t="s">
        <v>20</v>
      </c>
      <c r="C154" s="59">
        <v>2616.1999999999998</v>
      </c>
      <c r="D154" s="59">
        <v>2497</v>
      </c>
      <c r="E154" s="53">
        <f t="shared" ref="E154:E165" si="3">C154/$C$153</f>
        <v>0.87206666666666666</v>
      </c>
      <c r="F154" s="55">
        <f t="shared" ref="F154:F165" si="4">C154-D154</f>
        <v>119.19999999999982</v>
      </c>
      <c r="G154" s="53">
        <f t="shared" ref="G154:G165" si="5">F154/D154</f>
        <v>4.7737284741689957E-2</v>
      </c>
    </row>
    <row r="155" spans="2:7" ht="27.6" x14ac:dyDescent="0.3">
      <c r="B155" s="60" t="s">
        <v>21</v>
      </c>
      <c r="C155" s="61">
        <v>383.8</v>
      </c>
      <c r="D155" s="61">
        <v>353</v>
      </c>
      <c r="E155" s="53">
        <f t="shared" si="3"/>
        <v>0.12793333333333334</v>
      </c>
      <c r="F155" s="55">
        <f t="shared" si="4"/>
        <v>30.800000000000011</v>
      </c>
      <c r="G155" s="53">
        <f t="shared" si="5"/>
        <v>8.7252124645892382E-2</v>
      </c>
    </row>
    <row r="156" spans="2:7" x14ac:dyDescent="0.3">
      <c r="B156" s="58" t="s">
        <v>22</v>
      </c>
      <c r="C156" s="59">
        <v>100</v>
      </c>
      <c r="D156" s="59">
        <v>90</v>
      </c>
      <c r="E156" s="53">
        <f t="shared" si="3"/>
        <v>3.3333333333333333E-2</v>
      </c>
      <c r="F156" s="55">
        <f t="shared" si="4"/>
        <v>10</v>
      </c>
      <c r="G156" s="53">
        <f t="shared" si="5"/>
        <v>0.1111111111111111</v>
      </c>
    </row>
    <row r="157" spans="2:7" x14ac:dyDescent="0.3">
      <c r="B157" s="58" t="s">
        <v>23</v>
      </c>
      <c r="C157" s="59"/>
      <c r="D157" s="59"/>
      <c r="E157" s="53">
        <f t="shared" si="3"/>
        <v>0</v>
      </c>
      <c r="F157" s="55"/>
      <c r="G157" s="53"/>
    </row>
    <row r="158" spans="2:7" x14ac:dyDescent="0.3">
      <c r="B158" s="58" t="s">
        <v>24</v>
      </c>
      <c r="C158" s="59">
        <v>100</v>
      </c>
      <c r="D158" s="59">
        <v>90</v>
      </c>
      <c r="E158" s="53">
        <f t="shared" si="3"/>
        <v>3.3333333333333333E-2</v>
      </c>
      <c r="F158" s="55">
        <f t="shared" si="4"/>
        <v>10</v>
      </c>
      <c r="G158" s="53">
        <f t="shared" si="5"/>
        <v>0.1111111111111111</v>
      </c>
    </row>
    <row r="159" spans="2:7" ht="27.6" x14ac:dyDescent="0.3">
      <c r="B159" s="60" t="s">
        <v>25</v>
      </c>
      <c r="C159" s="61">
        <f>+C155-C158</f>
        <v>283.8</v>
      </c>
      <c r="D159" s="61">
        <f>+D155-D158</f>
        <v>263</v>
      </c>
      <c r="E159" s="53">
        <f t="shared" si="3"/>
        <v>9.4600000000000004E-2</v>
      </c>
      <c r="F159" s="55">
        <f t="shared" si="4"/>
        <v>20.800000000000011</v>
      </c>
      <c r="G159" s="53">
        <f t="shared" si="5"/>
        <v>7.9087452471482939E-2</v>
      </c>
    </row>
    <row r="160" spans="2:7" x14ac:dyDescent="0.3">
      <c r="B160" s="62" t="s">
        <v>26</v>
      </c>
      <c r="C160" s="63">
        <v>88</v>
      </c>
      <c r="D160" s="63">
        <v>60</v>
      </c>
      <c r="E160" s="53">
        <f t="shared" si="3"/>
        <v>2.9333333333333333E-2</v>
      </c>
      <c r="F160" s="55">
        <f t="shared" si="4"/>
        <v>28</v>
      </c>
      <c r="G160" s="53">
        <f t="shared" si="5"/>
        <v>0.46666666666666667</v>
      </c>
    </row>
    <row r="161" spans="2:7" x14ac:dyDescent="0.3">
      <c r="B161" s="62" t="s">
        <v>27</v>
      </c>
      <c r="C161" s="85">
        <v>195.8</v>
      </c>
      <c r="D161" s="85">
        <v>203</v>
      </c>
      <c r="E161" s="53">
        <f t="shared" si="3"/>
        <v>6.5266666666666667E-2</v>
      </c>
      <c r="F161" s="55">
        <f t="shared" si="4"/>
        <v>-7.1999999999999886</v>
      </c>
      <c r="G161" s="53">
        <f t="shared" si="5"/>
        <v>-3.5467980295566449E-2</v>
      </c>
    </row>
    <row r="162" spans="2:7" x14ac:dyDescent="0.3">
      <c r="B162" s="62" t="s">
        <v>28</v>
      </c>
      <c r="C162" s="63">
        <v>78.3</v>
      </c>
      <c r="D162" s="63">
        <v>81.2</v>
      </c>
      <c r="E162" s="53">
        <f t="shared" si="3"/>
        <v>2.6099999999999998E-2</v>
      </c>
      <c r="F162" s="55">
        <f t="shared" si="4"/>
        <v>-2.9000000000000057</v>
      </c>
      <c r="G162" s="53">
        <f t="shared" si="5"/>
        <v>-3.5714285714285782E-2</v>
      </c>
    </row>
    <row r="163" spans="2:7" x14ac:dyDescent="0.3">
      <c r="B163" s="62" t="s">
        <v>29</v>
      </c>
      <c r="C163" s="63">
        <v>117.5</v>
      </c>
      <c r="D163" s="63">
        <v>121.8</v>
      </c>
      <c r="E163" s="53">
        <f t="shared" si="3"/>
        <v>3.9166666666666669E-2</v>
      </c>
      <c r="F163" s="55">
        <f t="shared" si="4"/>
        <v>-4.2999999999999972</v>
      </c>
      <c r="G163" s="53">
        <f t="shared" si="5"/>
        <v>-3.5303776683087006E-2</v>
      </c>
    </row>
    <row r="164" spans="2:7" ht="15" thickBot="1" x14ac:dyDescent="0.35">
      <c r="B164" s="64" t="s">
        <v>30</v>
      </c>
      <c r="C164" s="65">
        <v>4</v>
      </c>
      <c r="D164" s="65">
        <v>4</v>
      </c>
      <c r="E164" s="53">
        <f t="shared" si="3"/>
        <v>1.3333333333333333E-3</v>
      </c>
      <c r="F164" s="55">
        <f t="shared" si="4"/>
        <v>0</v>
      </c>
      <c r="G164" s="53">
        <f t="shared" si="5"/>
        <v>0</v>
      </c>
    </row>
    <row r="165" spans="2:7" ht="15" thickBot="1" x14ac:dyDescent="0.35">
      <c r="B165" s="66" t="s">
        <v>31</v>
      </c>
      <c r="C165" s="67">
        <v>113.5</v>
      </c>
      <c r="D165" s="67">
        <v>117.8</v>
      </c>
      <c r="E165" s="53">
        <f t="shared" si="3"/>
        <v>3.783333333333333E-2</v>
      </c>
      <c r="F165" s="55">
        <f t="shared" si="4"/>
        <v>-4.2999999999999972</v>
      </c>
      <c r="G165" s="53">
        <f t="shared" si="5"/>
        <v>-3.6502546689303882E-2</v>
      </c>
    </row>
    <row r="166" spans="2:7" x14ac:dyDescent="0.3">
      <c r="B166" s="26" t="s">
        <v>32</v>
      </c>
      <c r="C166" s="27">
        <v>57.5</v>
      </c>
      <c r="D166" s="27">
        <v>53</v>
      </c>
      <c r="E166" s="4"/>
      <c r="F166" s="55"/>
      <c r="G166" s="4"/>
    </row>
    <row r="167" spans="2:7" x14ac:dyDescent="0.3">
      <c r="B167" s="26" t="s">
        <v>33</v>
      </c>
      <c r="C167" s="27">
        <v>56</v>
      </c>
      <c r="D167" s="27">
        <v>64.8</v>
      </c>
      <c r="E167" s="4"/>
      <c r="F167" s="55"/>
      <c r="G167" s="4"/>
    </row>
    <row r="168" spans="2:7" x14ac:dyDescent="0.3">
      <c r="B168" s="28" t="s">
        <v>34</v>
      </c>
      <c r="C168" s="29"/>
      <c r="D168" s="29"/>
      <c r="E168" s="4"/>
      <c r="F168" s="55"/>
      <c r="G168" s="4"/>
    </row>
    <row r="169" spans="2:7" x14ac:dyDescent="0.3">
      <c r="B169" s="30" t="s">
        <v>35</v>
      </c>
      <c r="C169" s="31">
        <v>23</v>
      </c>
      <c r="D169" s="31">
        <v>26</v>
      </c>
      <c r="E169" s="4"/>
      <c r="F169" s="55"/>
      <c r="G169" s="4"/>
    </row>
    <row r="170" spans="2:7" x14ac:dyDescent="0.3">
      <c r="B170" s="30" t="s">
        <v>36</v>
      </c>
      <c r="C170" s="31">
        <v>2.27</v>
      </c>
      <c r="D170" s="31">
        <v>2.36</v>
      </c>
      <c r="E170" s="4"/>
      <c r="F170" s="55"/>
      <c r="G170" s="4"/>
    </row>
    <row r="171" spans="2:7" x14ac:dyDescent="0.3">
      <c r="B171" s="30" t="s">
        <v>37</v>
      </c>
      <c r="C171" s="31">
        <v>1.1499999999999999</v>
      </c>
      <c r="D171" s="31">
        <v>1.06</v>
      </c>
      <c r="E171" s="4"/>
      <c r="F171" s="55"/>
      <c r="G171" s="4"/>
    </row>
    <row r="172" spans="2:7" x14ac:dyDescent="0.3">
      <c r="B172" s="30" t="s">
        <v>38</v>
      </c>
      <c r="C172" s="31">
        <v>17.920000000000002</v>
      </c>
      <c r="D172" s="31">
        <v>16.8</v>
      </c>
      <c r="E172" s="4"/>
      <c r="F172" s="55"/>
      <c r="G172" s="4"/>
    </row>
    <row r="173" spans="2:7" x14ac:dyDescent="0.3">
      <c r="B173" s="30" t="s">
        <v>39</v>
      </c>
      <c r="C173" s="31">
        <v>4.2699999999999996</v>
      </c>
      <c r="D173" s="31">
        <v>4.16</v>
      </c>
      <c r="E173" s="4"/>
      <c r="F173" s="55"/>
      <c r="G173" s="4"/>
    </row>
    <row r="174" spans="2:7" x14ac:dyDescent="0.3">
      <c r="B174" s="30" t="s">
        <v>119</v>
      </c>
      <c r="C174" s="79">
        <v>50000000</v>
      </c>
      <c r="D174" s="79">
        <v>50000000</v>
      </c>
      <c r="E174" s="4"/>
      <c r="F174" s="4"/>
      <c r="G174" s="4"/>
    </row>
    <row r="175" spans="2:7" x14ac:dyDescent="0.3">
      <c r="B175" s="4"/>
      <c r="C175" s="4"/>
      <c r="D175" s="4"/>
      <c r="E175" s="4"/>
      <c r="F175" s="4"/>
      <c r="G175" s="4"/>
    </row>
    <row r="176" spans="2:7" ht="25.5" customHeight="1" x14ac:dyDescent="0.3">
      <c r="B176" s="109" t="s">
        <v>140</v>
      </c>
      <c r="C176" s="109"/>
      <c r="D176" s="4"/>
      <c r="E176" s="4"/>
      <c r="F176" s="4"/>
      <c r="G176" s="4"/>
    </row>
    <row r="177" spans="2:7" x14ac:dyDescent="0.3">
      <c r="B177" s="105" t="s">
        <v>40</v>
      </c>
      <c r="C177" s="105"/>
      <c r="D177" s="4"/>
      <c r="E177" s="4"/>
      <c r="F177" s="4"/>
      <c r="G177" s="4"/>
    </row>
    <row r="178" spans="2:7" ht="15" thickBot="1" x14ac:dyDescent="0.35">
      <c r="B178" s="32" t="s">
        <v>41</v>
      </c>
      <c r="C178" s="33">
        <v>117.5</v>
      </c>
      <c r="D178" s="4" t="s">
        <v>142</v>
      </c>
      <c r="E178" s="4"/>
      <c r="F178" s="4"/>
      <c r="G178" s="4"/>
    </row>
    <row r="179" spans="2:7" x14ac:dyDescent="0.3">
      <c r="B179" s="4" t="s">
        <v>42</v>
      </c>
      <c r="C179" s="34"/>
      <c r="D179" s="4"/>
      <c r="E179" s="4"/>
      <c r="F179" s="4"/>
      <c r="G179" s="4"/>
    </row>
    <row r="180" spans="2:7" x14ac:dyDescent="0.3">
      <c r="B180" s="4" t="s">
        <v>43</v>
      </c>
      <c r="C180" s="34"/>
      <c r="D180" s="4"/>
      <c r="E180" s="4"/>
      <c r="F180" s="4"/>
      <c r="G180" s="4"/>
    </row>
    <row r="181" spans="2:7" x14ac:dyDescent="0.3">
      <c r="B181" s="35" t="s">
        <v>22</v>
      </c>
      <c r="C181" s="34">
        <v>100</v>
      </c>
      <c r="D181" s="4" t="s">
        <v>142</v>
      </c>
      <c r="E181" s="4"/>
      <c r="F181" s="4"/>
      <c r="G181" s="4"/>
    </row>
    <row r="182" spans="2:7" x14ac:dyDescent="0.3">
      <c r="B182" s="4" t="s">
        <v>44</v>
      </c>
      <c r="C182" s="34"/>
      <c r="D182" s="4"/>
      <c r="E182" s="4"/>
      <c r="F182" s="4"/>
      <c r="G182" s="4"/>
    </row>
    <row r="183" spans="2:7" x14ac:dyDescent="0.3">
      <c r="B183" s="35" t="s">
        <v>45</v>
      </c>
      <c r="C183" s="34">
        <v>-60</v>
      </c>
      <c r="D183" s="4" t="s">
        <v>141</v>
      </c>
      <c r="E183" s="4"/>
      <c r="F183" s="4"/>
      <c r="G183" s="4"/>
    </row>
    <row r="184" spans="2:7" x14ac:dyDescent="0.3">
      <c r="B184" s="35" t="s">
        <v>46</v>
      </c>
      <c r="C184" s="34">
        <v>-200</v>
      </c>
      <c r="D184" s="4" t="s">
        <v>141</v>
      </c>
      <c r="E184" s="4"/>
      <c r="F184" s="4"/>
      <c r="G184" s="4"/>
    </row>
    <row r="185" spans="2:7" x14ac:dyDescent="0.3">
      <c r="B185" s="35" t="s">
        <v>47</v>
      </c>
      <c r="C185" s="34">
        <v>30</v>
      </c>
      <c r="D185" s="4" t="s">
        <v>142</v>
      </c>
      <c r="E185" s="4"/>
      <c r="F185" s="4"/>
      <c r="G185" s="4"/>
    </row>
    <row r="186" spans="2:7" x14ac:dyDescent="0.3">
      <c r="B186" s="35" t="s">
        <v>48</v>
      </c>
      <c r="C186" s="34">
        <v>10</v>
      </c>
      <c r="D186" s="4" t="s">
        <v>142</v>
      </c>
      <c r="E186" s="4"/>
      <c r="F186" s="4"/>
      <c r="G186" s="4"/>
    </row>
    <row r="187" spans="2:7" ht="15" thickBot="1" x14ac:dyDescent="0.35">
      <c r="B187" s="36" t="s">
        <v>49</v>
      </c>
      <c r="C187" s="37">
        <v>-2.5</v>
      </c>
      <c r="D187" s="4"/>
      <c r="E187" s="4"/>
      <c r="F187" s="4"/>
      <c r="G187" s="4"/>
    </row>
    <row r="188" spans="2:7" x14ac:dyDescent="0.3">
      <c r="B188" s="105" t="s">
        <v>50</v>
      </c>
      <c r="C188" s="105"/>
      <c r="D188" s="4"/>
      <c r="E188" s="4"/>
      <c r="F188" s="4"/>
      <c r="G188" s="4"/>
    </row>
    <row r="189" spans="2:7" x14ac:dyDescent="0.3">
      <c r="B189" s="35" t="s">
        <v>51</v>
      </c>
      <c r="C189" s="38">
        <v>-230</v>
      </c>
      <c r="D189" s="4"/>
      <c r="E189" s="4"/>
      <c r="G189" s="4"/>
    </row>
    <row r="190" spans="2:7" x14ac:dyDescent="0.3">
      <c r="B190" s="105" t="s">
        <v>52</v>
      </c>
      <c r="C190" s="105"/>
      <c r="D190" s="4"/>
      <c r="E190" s="4"/>
      <c r="F190" s="4"/>
      <c r="G190" s="4"/>
    </row>
    <row r="191" spans="2:7" x14ac:dyDescent="0.3">
      <c r="B191" s="35" t="s">
        <v>53</v>
      </c>
      <c r="C191" s="34">
        <v>65</v>
      </c>
      <c r="D191" s="4"/>
      <c r="E191" s="4"/>
      <c r="F191" s="4"/>
      <c r="G191" s="4"/>
    </row>
    <row r="192" spans="2:7" x14ac:dyDescent="0.3">
      <c r="B192" s="35" t="s">
        <v>54</v>
      </c>
      <c r="C192" s="34">
        <v>50</v>
      </c>
      <c r="D192" s="4"/>
      <c r="E192" s="4"/>
      <c r="F192" s="4"/>
      <c r="G192" s="4"/>
    </row>
    <row r="193" spans="2:7" x14ac:dyDescent="0.3">
      <c r="B193" s="35" t="s">
        <v>55</v>
      </c>
      <c r="C193" s="34">
        <v>174</v>
      </c>
      <c r="D193" s="4"/>
      <c r="E193" s="4"/>
      <c r="F193" s="4"/>
      <c r="G193" s="4"/>
    </row>
    <row r="194" spans="2:7" ht="15" customHeight="1" x14ac:dyDescent="0.3">
      <c r="B194" s="96" t="s">
        <v>56</v>
      </c>
      <c r="C194" s="34">
        <v>-61.5</v>
      </c>
      <c r="D194" s="4"/>
      <c r="E194" s="4"/>
      <c r="F194" s="4"/>
      <c r="G194" s="4"/>
    </row>
    <row r="195" spans="2:7" ht="15" thickBot="1" x14ac:dyDescent="0.35">
      <c r="B195" s="39" t="s">
        <v>57</v>
      </c>
      <c r="C195" s="37">
        <v>227.5</v>
      </c>
      <c r="D195" s="4"/>
      <c r="E195" s="4"/>
      <c r="F195" s="4"/>
      <c r="G195" s="4"/>
    </row>
    <row r="196" spans="2:7" x14ac:dyDescent="0.3">
      <c r="B196" s="40" t="s">
        <v>58</v>
      </c>
      <c r="C196" s="41"/>
      <c r="D196" s="4"/>
      <c r="E196" s="4"/>
      <c r="F196" s="4"/>
      <c r="G196" s="4"/>
    </row>
    <row r="197" spans="2:7" x14ac:dyDescent="0.3">
      <c r="B197" s="35" t="s">
        <v>59</v>
      </c>
      <c r="C197" s="42">
        <v>-5</v>
      </c>
      <c r="D197" s="4"/>
      <c r="E197" s="4"/>
      <c r="F197" s="4"/>
      <c r="G197" s="4"/>
    </row>
    <row r="198" spans="2:7" x14ac:dyDescent="0.3">
      <c r="B198" s="35" t="s">
        <v>60</v>
      </c>
      <c r="C198" s="42">
        <v>15</v>
      </c>
      <c r="D198" s="4"/>
      <c r="E198" s="4"/>
      <c r="F198" s="4"/>
      <c r="G198" s="4"/>
    </row>
    <row r="199" spans="2:7" x14ac:dyDescent="0.3">
      <c r="B199" s="35" t="s">
        <v>61</v>
      </c>
      <c r="C199" s="42">
        <v>10</v>
      </c>
      <c r="D199" s="4"/>
      <c r="E199" s="4"/>
      <c r="F199" s="4"/>
      <c r="G199" s="4"/>
    </row>
    <row r="200" spans="2:7" x14ac:dyDescent="0.3">
      <c r="B200" s="4"/>
      <c r="C200" s="4"/>
      <c r="D200" s="4"/>
      <c r="E200" s="4"/>
      <c r="F200" s="4"/>
      <c r="G200" s="4"/>
    </row>
    <row r="201" spans="2:7" x14ac:dyDescent="0.3">
      <c r="B201" s="4"/>
      <c r="C201" s="4"/>
      <c r="D201" s="4"/>
      <c r="E201" s="4"/>
      <c r="F201" s="4"/>
      <c r="G201" s="4"/>
    </row>
  </sheetData>
  <mergeCells count="22">
    <mergeCell ref="B190:C190"/>
    <mergeCell ref="E5:F5"/>
    <mergeCell ref="B13:F16"/>
    <mergeCell ref="B40:F45"/>
    <mergeCell ref="B58:F62"/>
    <mergeCell ref="B85:F91"/>
    <mergeCell ref="E19:F19"/>
    <mergeCell ref="B128:D128"/>
    <mergeCell ref="B127:F127"/>
    <mergeCell ref="B177:C177"/>
    <mergeCell ref="B188:C188"/>
    <mergeCell ref="B98:F100"/>
    <mergeCell ref="B176:C176"/>
    <mergeCell ref="F128:G128"/>
    <mergeCell ref="B150:G150"/>
    <mergeCell ref="B119:F124"/>
    <mergeCell ref="C3:F3"/>
    <mergeCell ref="D1:G1"/>
    <mergeCell ref="E47:F47"/>
    <mergeCell ref="E64:F64"/>
    <mergeCell ref="E93:F93"/>
    <mergeCell ref="A1:C1"/>
  </mergeCells>
  <pageMargins left="0.25" right="0.25"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DELL</cp:lastModifiedBy>
  <cp:lastPrinted>2021-03-12T17:13:30Z</cp:lastPrinted>
  <dcterms:created xsi:type="dcterms:W3CDTF">2019-08-23T20:59:12Z</dcterms:created>
  <dcterms:modified xsi:type="dcterms:W3CDTF">2026-10-03T16:35:59Z</dcterms:modified>
</cp:coreProperties>
</file>